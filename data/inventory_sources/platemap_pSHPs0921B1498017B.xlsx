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kkevin/Library/CloudStorage/Nextcloud-sek0002@nc․sek-lab․com/Work/2026/cloning/GGorder4/"/>
    </mc:Choice>
  </mc:AlternateContent>
  <xr:revisionPtr revIDLastSave="0" documentId="13_ncr:9_{27C59E57-C5AA-104E-B3F7-C4A6E71735A2}" xr6:coauthVersionLast="47" xr6:coauthVersionMax="47" xr10:uidLastSave="{00000000-0000-0000-0000-000000000000}"/>
  <bookViews>
    <workbookView xWindow="0" yWindow="760" windowWidth="30240" windowHeight="18880" xr2:uid="{FD42BC02-9276-AE48-B48B-85DF056F0C84}"/>
  </bookViews>
  <sheets>
    <sheet name="platemap_pSHPs0921B1498017B" sheetId="1" r:id="rId1"/>
  </sheets>
  <definedNames>
    <definedName name="_xlnm._FilterDatabase" localSheetId="0" hidden="1">platemap_pSHPs0921B1498017B!$A$1:$R$97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1" l="1"/>
  <c r="R49" i="1"/>
  <c r="R39" i="1"/>
  <c r="R40" i="1"/>
  <c r="R41" i="1"/>
  <c r="R42" i="1"/>
  <c r="R43" i="1"/>
  <c r="R44" i="1"/>
  <c r="R45" i="1"/>
  <c r="R46" i="1"/>
  <c r="R50" i="1"/>
  <c r="R59" i="1"/>
  <c r="R60" i="1"/>
  <c r="R61" i="1"/>
  <c r="R51" i="1"/>
  <c r="R52" i="1"/>
  <c r="R53" i="1"/>
  <c r="R54" i="1"/>
  <c r="R55" i="1"/>
  <c r="R56" i="1"/>
  <c r="R57" i="1"/>
  <c r="R58" i="1"/>
  <c r="R62" i="1"/>
  <c r="R71" i="1"/>
  <c r="R72" i="1"/>
  <c r="R73" i="1"/>
  <c r="R63" i="1"/>
  <c r="R64" i="1"/>
  <c r="R65" i="1"/>
  <c r="R66" i="1"/>
  <c r="R67" i="1"/>
  <c r="R68" i="1"/>
  <c r="R69" i="1"/>
  <c r="R70" i="1"/>
  <c r="R74" i="1"/>
  <c r="R83" i="1"/>
  <c r="R84" i="1"/>
  <c r="R85" i="1"/>
  <c r="R75" i="1"/>
  <c r="R76" i="1"/>
  <c r="R77" i="1"/>
  <c r="R78" i="1"/>
  <c r="R79" i="1"/>
  <c r="R80" i="1"/>
  <c r="R81" i="1"/>
  <c r="R82" i="1"/>
  <c r="R86" i="1"/>
  <c r="R95" i="1"/>
  <c r="R96" i="1"/>
  <c r="R97" i="1"/>
  <c r="R87" i="1"/>
  <c r="R88" i="1"/>
  <c r="R89" i="1"/>
  <c r="R90" i="1"/>
  <c r="R91" i="1"/>
  <c r="R92" i="1"/>
  <c r="R93" i="1"/>
  <c r="R94" i="1"/>
  <c r="R11" i="1"/>
  <c r="R12" i="1"/>
  <c r="R13" i="1"/>
  <c r="R3" i="1"/>
  <c r="R4" i="1"/>
  <c r="R5" i="1"/>
  <c r="R6" i="1"/>
  <c r="R7" i="1"/>
  <c r="R8" i="1"/>
  <c r="R9" i="1"/>
  <c r="R10" i="1"/>
  <c r="R14" i="1"/>
  <c r="R23" i="1"/>
  <c r="R24" i="1"/>
  <c r="R25" i="1"/>
  <c r="R15" i="1"/>
  <c r="R16" i="1"/>
  <c r="R17" i="1"/>
  <c r="R18" i="1"/>
  <c r="R19" i="1"/>
  <c r="R20" i="1"/>
  <c r="R21" i="1"/>
  <c r="R22" i="1"/>
  <c r="R26" i="1"/>
  <c r="R35" i="1"/>
  <c r="R36" i="1"/>
  <c r="R37" i="1"/>
  <c r="R27" i="1"/>
  <c r="R28" i="1"/>
  <c r="R29" i="1"/>
  <c r="R30" i="1"/>
  <c r="R31" i="1"/>
  <c r="R32" i="1"/>
  <c r="R33" i="1"/>
  <c r="R34" i="1"/>
  <c r="R38" i="1"/>
  <c r="R47" i="1"/>
  <c r="R2" i="1"/>
  <c r="O14" i="1"/>
  <c r="P14" i="1"/>
  <c r="Q14" i="1" s="1"/>
  <c r="O26" i="1"/>
  <c r="P26" i="1"/>
  <c r="Q26" i="1" s="1"/>
  <c r="O38" i="1"/>
  <c r="P38" i="1"/>
  <c r="Q38" i="1" s="1"/>
  <c r="O50" i="1"/>
  <c r="P50" i="1"/>
  <c r="Q50" i="1" s="1"/>
  <c r="O62" i="1"/>
  <c r="P62" i="1"/>
  <c r="Q62" i="1" s="1"/>
  <c r="O74" i="1"/>
  <c r="P74" i="1"/>
  <c r="Q74" i="1" s="1"/>
  <c r="O86" i="1"/>
  <c r="P86" i="1"/>
  <c r="Q86" i="1" s="1"/>
  <c r="O3" i="1"/>
  <c r="P3" i="1"/>
  <c r="Q3" i="1" s="1"/>
  <c r="O15" i="1"/>
  <c r="P15" i="1"/>
  <c r="Q15" i="1"/>
  <c r="O27" i="1"/>
  <c r="P27" i="1"/>
  <c r="Q27" i="1"/>
  <c r="O39" i="1"/>
  <c r="P39" i="1"/>
  <c r="Q39" i="1" s="1"/>
  <c r="O51" i="1"/>
  <c r="P51" i="1"/>
  <c r="Q51" i="1"/>
  <c r="O63" i="1"/>
  <c r="P63" i="1"/>
  <c r="Q63" i="1"/>
  <c r="O75" i="1"/>
  <c r="P75" i="1"/>
  <c r="Q75" i="1"/>
  <c r="O87" i="1"/>
  <c r="P87" i="1"/>
  <c r="Q87" i="1"/>
  <c r="O4" i="1"/>
  <c r="P4" i="1"/>
  <c r="Q4" i="1"/>
  <c r="O16" i="1"/>
  <c r="P16" i="1"/>
  <c r="Q16" i="1"/>
  <c r="O28" i="1"/>
  <c r="P28" i="1"/>
  <c r="Q28" i="1"/>
  <c r="O40" i="1"/>
  <c r="P40" i="1"/>
  <c r="Q40" i="1"/>
  <c r="O52" i="1"/>
  <c r="P52" i="1"/>
  <c r="Q52" i="1"/>
  <c r="O64" i="1"/>
  <c r="P64" i="1"/>
  <c r="Q64" i="1"/>
  <c r="O76" i="1"/>
  <c r="P76" i="1"/>
  <c r="Q76" i="1"/>
  <c r="O88" i="1"/>
  <c r="P88" i="1"/>
  <c r="Q88" i="1"/>
  <c r="O5" i="1"/>
  <c r="P5" i="1"/>
  <c r="Q5" i="1"/>
  <c r="O17" i="1"/>
  <c r="P17" i="1"/>
  <c r="Q17" i="1"/>
  <c r="O29" i="1"/>
  <c r="P29" i="1"/>
  <c r="Q29" i="1"/>
  <c r="O41" i="1"/>
  <c r="P41" i="1"/>
  <c r="Q41" i="1"/>
  <c r="O53" i="1"/>
  <c r="P53" i="1"/>
  <c r="Q53" i="1" s="1"/>
  <c r="O65" i="1"/>
  <c r="P65" i="1"/>
  <c r="Q65" i="1"/>
  <c r="O77" i="1"/>
  <c r="P77" i="1"/>
  <c r="Q77" i="1" s="1"/>
  <c r="O89" i="1"/>
  <c r="P89" i="1"/>
  <c r="Q89" i="1" s="1"/>
  <c r="O6" i="1"/>
  <c r="P6" i="1"/>
  <c r="Q6" i="1"/>
  <c r="O18" i="1"/>
  <c r="P18" i="1"/>
  <c r="Q18" i="1" s="1"/>
  <c r="O30" i="1"/>
  <c r="P30" i="1"/>
  <c r="Q30" i="1"/>
  <c r="O42" i="1"/>
  <c r="P42" i="1"/>
  <c r="Q42" i="1"/>
  <c r="O54" i="1"/>
  <c r="P54" i="1"/>
  <c r="Q54" i="1"/>
  <c r="O66" i="1"/>
  <c r="P66" i="1"/>
  <c r="Q66" i="1" s="1"/>
  <c r="O78" i="1"/>
  <c r="P78" i="1"/>
  <c r="Q78" i="1"/>
  <c r="O90" i="1"/>
  <c r="P90" i="1"/>
  <c r="Q90" i="1"/>
  <c r="O7" i="1"/>
  <c r="P7" i="1"/>
  <c r="Q7" i="1"/>
  <c r="O19" i="1"/>
  <c r="P19" i="1"/>
  <c r="Q19" i="1"/>
  <c r="O31" i="1"/>
  <c r="P31" i="1"/>
  <c r="Q31" i="1"/>
  <c r="O43" i="1"/>
  <c r="P43" i="1"/>
  <c r="Q43" i="1"/>
  <c r="O55" i="1"/>
  <c r="P55" i="1"/>
  <c r="Q55" i="1"/>
  <c r="O67" i="1"/>
  <c r="P67" i="1"/>
  <c r="Q67" i="1"/>
  <c r="O79" i="1"/>
  <c r="P79" i="1"/>
  <c r="Q79" i="1"/>
  <c r="O91" i="1"/>
  <c r="P91" i="1"/>
  <c r="Q91" i="1"/>
  <c r="O8" i="1"/>
  <c r="P8" i="1"/>
  <c r="Q8" i="1"/>
  <c r="O20" i="1"/>
  <c r="P20" i="1"/>
  <c r="Q20" i="1"/>
  <c r="O32" i="1"/>
  <c r="P32" i="1"/>
  <c r="Q32" i="1"/>
  <c r="O44" i="1"/>
  <c r="P44" i="1"/>
  <c r="Q44" i="1" s="1"/>
  <c r="O56" i="1"/>
  <c r="P56" i="1"/>
  <c r="Q56" i="1"/>
  <c r="O68" i="1"/>
  <c r="P68" i="1"/>
  <c r="Q68" i="1"/>
  <c r="O80" i="1"/>
  <c r="P80" i="1"/>
  <c r="Q80" i="1"/>
  <c r="O92" i="1"/>
  <c r="P92" i="1"/>
  <c r="Q92" i="1"/>
  <c r="O9" i="1"/>
  <c r="P9" i="1"/>
  <c r="Q9" i="1" s="1"/>
  <c r="O21" i="1"/>
  <c r="P21" i="1"/>
  <c r="Q21" i="1" s="1"/>
  <c r="O33" i="1"/>
  <c r="P33" i="1"/>
  <c r="Q33" i="1"/>
  <c r="O45" i="1"/>
  <c r="P45" i="1"/>
  <c r="Q45" i="1" s="1"/>
  <c r="O57" i="1"/>
  <c r="P57" i="1"/>
  <c r="Q57" i="1" s="1"/>
  <c r="O69" i="1"/>
  <c r="P69" i="1"/>
  <c r="Q69" i="1" s="1"/>
  <c r="O81" i="1"/>
  <c r="P81" i="1"/>
  <c r="Q81" i="1"/>
  <c r="O93" i="1"/>
  <c r="P93" i="1"/>
  <c r="Q93" i="1" s="1"/>
  <c r="O10" i="1"/>
  <c r="P10" i="1"/>
  <c r="Q10" i="1" s="1"/>
  <c r="O22" i="1"/>
  <c r="P22" i="1"/>
  <c r="Q22" i="1"/>
  <c r="O34" i="1"/>
  <c r="P34" i="1"/>
  <c r="Q34" i="1" s="1"/>
  <c r="O46" i="1"/>
  <c r="P46" i="1"/>
  <c r="Q46" i="1" s="1"/>
  <c r="O58" i="1"/>
  <c r="P58" i="1"/>
  <c r="Q58" i="1"/>
  <c r="O70" i="1"/>
  <c r="P70" i="1"/>
  <c r="Q70" i="1"/>
  <c r="O82" i="1"/>
  <c r="P82" i="1"/>
  <c r="Q82" i="1" s="1"/>
  <c r="O94" i="1"/>
  <c r="P94" i="1"/>
  <c r="Q94" i="1" s="1"/>
  <c r="O11" i="1"/>
  <c r="P11" i="1"/>
  <c r="Q11" i="1" s="1"/>
  <c r="O23" i="1"/>
  <c r="P23" i="1"/>
  <c r="Q23" i="1" s="1"/>
  <c r="O35" i="1"/>
  <c r="P35" i="1"/>
  <c r="Q35" i="1" s="1"/>
  <c r="O47" i="1"/>
  <c r="P47" i="1"/>
  <c r="Q47" i="1" s="1"/>
  <c r="O59" i="1"/>
  <c r="P59" i="1"/>
  <c r="Q59" i="1" s="1"/>
  <c r="O71" i="1"/>
  <c r="P71" i="1"/>
  <c r="Q71" i="1" s="1"/>
  <c r="O83" i="1"/>
  <c r="P83" i="1"/>
  <c r="Q83" i="1" s="1"/>
  <c r="O95" i="1"/>
  <c r="P95" i="1"/>
  <c r="Q95" i="1" s="1"/>
  <c r="O12" i="1"/>
  <c r="P12" i="1"/>
  <c r="Q12" i="1" s="1"/>
  <c r="O24" i="1"/>
  <c r="P24" i="1"/>
  <c r="Q24" i="1" s="1"/>
  <c r="O36" i="1"/>
  <c r="P36" i="1"/>
  <c r="Q36" i="1" s="1"/>
  <c r="O48" i="1"/>
  <c r="P48" i="1"/>
  <c r="Q48" i="1" s="1"/>
  <c r="O60" i="1"/>
  <c r="P60" i="1"/>
  <c r="Q60" i="1" s="1"/>
  <c r="O72" i="1"/>
  <c r="P72" i="1"/>
  <c r="Q72" i="1" s="1"/>
  <c r="O84" i="1"/>
  <c r="P84" i="1"/>
  <c r="Q84" i="1" s="1"/>
  <c r="O96" i="1"/>
  <c r="P96" i="1"/>
  <c r="Q96" i="1" s="1"/>
  <c r="O13" i="1"/>
  <c r="P13" i="1"/>
  <c r="Q13" i="1" s="1"/>
  <c r="O25" i="1"/>
  <c r="P25" i="1"/>
  <c r="Q25" i="1"/>
  <c r="O37" i="1"/>
  <c r="P37" i="1"/>
  <c r="Q37" i="1" s="1"/>
  <c r="O49" i="1"/>
  <c r="P49" i="1"/>
  <c r="Q49" i="1" s="1"/>
  <c r="O61" i="1"/>
  <c r="P61" i="1"/>
  <c r="Q61" i="1"/>
  <c r="O73" i="1"/>
  <c r="P73" i="1"/>
  <c r="Q73" i="1" s="1"/>
  <c r="O85" i="1"/>
  <c r="P85" i="1"/>
  <c r="Q85" i="1"/>
  <c r="O97" i="1"/>
  <c r="P97" i="1"/>
  <c r="Q97" i="1" s="1"/>
  <c r="P2" i="1"/>
  <c r="Q2" i="1" s="1"/>
  <c r="O2" i="1"/>
</calcChain>
</file>

<file path=xl/sharedStrings.xml><?xml version="1.0" encoding="utf-8"?>
<sst xmlns="http://schemas.openxmlformats.org/spreadsheetml/2006/main" count="1076" uniqueCount="404">
  <si>
    <t>Product Type</t>
  </si>
  <si>
    <t>Name</t>
  </si>
  <si>
    <t>Plate ID</t>
  </si>
  <si>
    <t>Well Location</t>
  </si>
  <si>
    <t>Insert Sequence</t>
  </si>
  <si>
    <t>Insert Length</t>
  </si>
  <si>
    <t>Construct Sequence (Insert + Adapters)</t>
  </si>
  <si>
    <t>Construct Length (Insert + Adapters)</t>
  </si>
  <si>
    <t>Assembly QC</t>
  </si>
  <si>
    <t>Yield QC</t>
  </si>
  <si>
    <t>Yield (ng)</t>
  </si>
  <si>
    <t>Order #</t>
  </si>
  <si>
    <t>Custom Label</t>
  </si>
  <si>
    <t>Gene Fragments with adapters</t>
  </si>
  <si>
    <t>F1</t>
  </si>
  <si>
    <t>pSHPs0921B1498017B</t>
  </si>
  <si>
    <t>A1</t>
  </si>
  <si>
    <t>GGTCTCC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GAGACC</t>
  </si>
  <si>
    <t>CAATCCGCCCTCACTACAACCGGGTCTCC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G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GAGACCCTACTCTGGCGTCGATGAGGGA</t>
  </si>
  <si>
    <t>Pass</t>
  </si>
  <si>
    <t>Q-721587</t>
  </si>
  <si>
    <t>GGOrder4</t>
  </si>
  <si>
    <t>F2</t>
  </si>
  <si>
    <t>B1</t>
  </si>
  <si>
    <t>GGTCTCCACCTCACATTTCCCCGAAAAGTGCCACCTGACGTCTAAGAAACCATTATTATCATGACATTAACCTATAAAAATAGGCGTATCACGAGGCCCTTTCGTGTCGCGCGTTTCGGTGATGACGGTGAAAACCTCTGACACATGCAGCTCCCGGACACGGTCACAGCTTGTCTGTAAGCGGATGCCGGGAGCAGACAAGCCCGTCAGGGCGCGTCAGCGGGTGTTGGCGGGTGTCGGGGCTGGCTTAACTATGCGGCATCAGAGCAGATTGTACTGAGAGTGCACCATAGGAGACCG</t>
  </si>
  <si>
    <t>CAATCCGCCCTCACTACAACCGGGTCTCCACCTCACATTTCCCCGAAAAGTGCCACCTGACGTCTAAGAAACCATTATTATCATGACATTAACCTATAAAAATAGGCGTATCACGAGGCCCTTTCGTGTCGCGCGTTTCGGTGATGACGGTGAAAACCTCTGACACATGCAGCTCCCGGACACGGTCACAGCTTGTCTGTAAGCGGATGCCGGGAGCAGACAAGCCCGTCAGGGCGCGTCAGCGGGTGTTGGCGGGTGTCGGGGCTGGCTTAACTATGCGGCATCAGAGCAGATTGTACTGAGAGTGCACCATAGGAGACCGCTACTCTGGCGTCGATGAGGGA</t>
  </si>
  <si>
    <t>F3</t>
  </si>
  <si>
    <t>C1</t>
  </si>
  <si>
    <t>GGTCTCCACCTGACGTCTAAGAAACCATTATTATCATGACATTAACCTATAAAAATAGGCGTATCACGAGGCCCTTTGTCACAGCTTGTCTGTAAGCGGATGCCGGGAGCAGACAAGCCCGTCAGGGCGCGTCAGCGGGTGTTGGCGGGTGTCGGGGCTGGCTTAACTATGCGGCATCAGAGCAGATTGTACTGAGAGTGCACCAT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TGGCTAGCGATGACCCTGCTGATTGGTTCGCTGACCATTTCCGGGTGCGGGACGGCGTTACCAGAAACTCAGAAGGTTCGTCCAACCAAACCGACTCTGACGGCAGTTTACGAGAGAGATGATAGGGTCTGCTTCAGTAAGCCAGATGCTACACAATTAGGCTTGTACATATTGTCGTTAGAACGCGGCTACAATTAATACATAACCTTATGTATCATACACATACGATTTAGGTGACACTATAGAATACACGGAATTAATTCTAGATGCTGCTCGAGACC</t>
  </si>
  <si>
    <t>CAATCCGCCCTCACTACAACCGGGTCTCCACCTGACGTCTAAGAAACCATTATTATCATGACATTAACCTATAAAAATAGGCGTATCACGAGGCCCTTTGTCACAGCTTGTCTGTAAGCGGATGCCGGGAGCAGACAAGCCCGTCAGGGCGCGTCAGCGGGTGTTGGCGGGTGTCGGGGCTGGCTTAACTATGCGGCATCAGAGCAGATTGTACTGAGAGTGCACCATTCGACGCTCTCCCTTATGCGACTCCTGCATTAGGAAGCAGCCCAGTAGTAGGTTGAGGCCGTTGAGCACCGCCGCCGCAAGGAATGGTGCATGCAAGGAGATGGCGCCCAACAGTCCCCCGGCCACGGGGCCTGCCACCATACCCACGCCGAAACAAGCGCTCATGAGCCCGAAGTGGCGAGCCCGATCTTCCCCATCGGTGATGTCGGCGATATAGGCGCCAGCAACCGCACCTGTGGCGCCGGTGATGCCGGCCACGATGCGTCCGGCGTAGAGGATCTGGCTAGCGATGACCCTGCTGATTGGTTCGCTGACCATTTCCGGGTGCGGGACGGCGTTACCAGAAACTCAGAAGGTTCGTCCAACCAAACCGACTCTGACGGCAGTTTACGAGAGAGATGATAGGGTCTGCTTCAGTAAGCCAGATGCTACACAATTAGGCTTGTACATATTGTCGTTAGAACGCGGCTACAATTAATACATAACCTTATGTATCATACACATACGATTTAGGTGACACTATAGAATACACGGAATTAATTCTAGATGCTGCTCGAGACCCTACTCTGGCGTCGATGAGGGA</t>
  </si>
  <si>
    <t>F4 (Lacz)</t>
  </si>
  <si>
    <t>D1</t>
  </si>
  <si>
    <t>GGTCTCGCATATGCGGTGTGAAATACCGCACAGATGCGTAAGGAGAAAATACCGCATCAGGCGCCATTCGCCATTCAGGCTGCGCAACTGTTGGGAAGGGCGATCGGTGCGGGCCTCTTCGCTATTACGCCAGCTGGCGAAAGGGGGATGTGCTGCAAGGCGATTAAGTTGGGTAACGCCAGGGTTTTCCCAGTCACGACGTTGTAAAACGACGGCCGAGACCGCTAGCTCAGAACAATAGCTAGTCGAATCGCTTTGATAATACCAACAACGGGCGTGGTCTGGGAACTGGAATCGGCC</t>
  </si>
  <si>
    <t>CAATCCGCCCTCACTACAACCGGGTCTCGCATATGCGGTGTGAAATACCGCACAGATGCGTAAGGAGAAAATACCGCATCAGGCGCCATTCGCCATTCAGGCTGCGCAACTGTTGGGAAGGGCGATCGGTGCGGGCCTCTTCGCTATTACGCCAGCTGGCGAAAGGGGGATGTGCTGCAAGGCGATTAAGTTGGGTAACGCCAGGGTTTTCCCAGTCACGACGTTGTAAAACGACGGCCGAGACCGCTAGCTCAGAACAATAGCTAGTCGAATCGCTTTGATAATACCAACAACGGGCGTGGTCTGGGAACTGGAATCGGCCCTACTCTGGCGTCGATGAGGGA</t>
  </si>
  <si>
    <t>F5</t>
  </si>
  <si>
    <t>E1</t>
  </si>
  <si>
    <t>GGTCT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GGAGACC</t>
  </si>
  <si>
    <t>CAATCCGCCCTCACTACAACCGGGTCTCCACCT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GGAGACCCTACTCTGGCGTCGATGAGGGA</t>
  </si>
  <si>
    <t>F6 (3'LTR_BsaI original)</t>
  </si>
  <si>
    <t>CGTCTCGTGCTAGAGATTTTCCACACTGACTAAAAGGGTCTGAGGGATCTCTAGTTACCAGAGTCACACAACAGACGGGCACACACTACTTGAAGCACTCAAGGCAAGCTTTATTGAGGCTTAAGCAGTGGGTTCCCTAGTTAGCCAGAGAGCTCCCAGGCTCAGATCTGGTCTAACCAGAGAGACCCAGTACAAGCAAAAAGCAGATCTTGTCTTCGTTGGGAGTGAATTAGCCCTTCCAGTCCCCCCTTTTCTTTTAAAAAGTGGCTAAGATCTACAGCTGCCTTGTAAGTCATTGGTCTTAAAGGTACCGAGCTCGAATTAATTCCCGAGACG</t>
  </si>
  <si>
    <t>CAATCCGCCCTCACTACAACCGCGTCTCGTGCTAGAGATTTTCCACACTGACTAAAAGGGTCTGAGGGATCTCTAGTTACCAGAGTCACACAACAGACGGGCACACACTACTTGAAGCACTCAAGGCAAGCTTTATTGAGGCTTAAGCAGTGGGTTCCCTAGTTAGCCAGAGAGCTCCCAGGCTCAGATCTGGTCTAACCAGAGAGACCCAGTACAAGCAAAAAGCAGATCTTGTCTTCGTTGGGAGTGAATTAGCCCTTCCAGTCCCCCCTTTTCTTTTAAAAAGTGGCTAAGATCTACAGCTGCCTTGTAAGTCATTGGTCTTAAAGGTACCGAGCTCGAATTAATTCCCGAGACGCTACTCTGGCGTCGATGAGGGA</t>
  </si>
  <si>
    <t>F6 (3'LTR_SPLINTR)</t>
  </si>
  <si>
    <t>G1</t>
  </si>
  <si>
    <t>GGTCTCGTGCTAGAGATTTTCCACACTGACTAAAAGGGTCTGAGGGATCTCTAGTTACCAGAGTCACACAACAGACGGGCACACACTACTTGAAGCACTCAAGGCAAGCTTTATTGAGGCTTAAGCAGTGGGTTCCCTAGTTAGCCAGAGAGCTCCCAGGCTCAGATCTGGTCTAACCAGAGAAACCCAGTACAAGCAAAAAGCAGGAGACTCAGTACAGTCCGGACAGTCTAGACTCAGACTAGAGCGCTAGCGAGACGCACTCGGAGGATCCGAGACGACATTGGTACCTGAGGTGTGACTGGATCTTGTCTTCGTTGGGAGTGAATTAGCCCTTCCAGTCCCCCCTTTTCTTTTAAAAAGTGGCTAAGATCTACAGCTGCCTTGTAAGTCATTGGTCTTAAAGGTACCGAGCTCGAATTAATTCCCGAGACC</t>
  </si>
  <si>
    <t>CAATCCGCCCTCACTACAACCGGGTCTCGTGCTAGAGATTTTCCACACTGACTAAAAGGGTCTGAGGGATCTCTAGTTACCAGAGTCACACAACAGACGGGCACACACTACTTGAAGCACTCAAGGCAAGCTTTATTGAGGCTTAAGCAGTGGGTTCCCTAGTTAGCCAGAGAGCTCCCAGGCTCAGATCTGGTCTAACCAGAGAAACCCAGTACAAGCAAAAAGCAGGAGACTCAGTACAGTCCGGACAGTCTAGACTCAGACTAGAGCGCTAGCGAGACGCACTCGGAGGATCCGAGACGACATTGGTACCTGAGGTGTGACTGGATCTTGTCTTCGTTGGGAGTGAATTAGCCCTTCCAGTCCCCCCTTTTCTTTTAAAAAGTGGCTAAGATCTACAGCTGCCTTGTAAGTCATTGGTCTTAAAGGTACCGAGCTCGAATTAATTCCCGAGACCCTACTCTGGCGTCGATGAGGGA</t>
  </si>
  <si>
    <t>F6 (3'LTR_U6_BsmBI)</t>
  </si>
  <si>
    <t>H1</t>
  </si>
  <si>
    <t>GGTCTCGTGCTAGAGATTTTCCACACTGACTAAAAGGGTCTGAGGGATCTCTAGTTACCAGAGTCACACAACAGACGGGCACACACTACTTGAAGCACTCAAGGCAAGCTTTATTGAGGCTTAAGCAGTGGGTTCCCTAGTTAGCCAGAGAGCTCCCAGGCTCAGATCTGGTCTAACCAGAGAAACCCAGTACAAGCAAAAAGCAGTGTCTCAAGATCTAGTTACGCCAAGCTTAAAAAAGCACCGACTCGGTGCCACTTTTTCAAGTTGATAACGGACTAGCCTTATTTTAACTTGCTATTTCTAGCTCTAAAACAGAGACGTCTAGAAGATATCTCCCTTCGTCTCCGGTGTTTCGTCCTTTCCACAAGATATATAAAGCCAAGAAATCGAAATACTTTCAAGTTACGGTAAGCATATGATAGTCCATTTTAAAACATAATTTTAAAACTGCAAACTACCCAAGAAATTATTACTTTCTACGTCACGTATTTTGTACTAATATCTTTGTGTTTACAGTCAAATTAATTCTAATTATCTCTCTAACAGCCTTGTATCGTATATGCAAATATGAAGGAATCATGGGAAATAGGCCCTCTCTGGGTCCCCTCGGGGTTGGGAGGTGGGTCTGAAACGATAATGGTGAAATCTTGTCTTCGTTGGGAGTGAATTAGCCCTTCCAGTCCCCCCTTTTCTTTTAAAAAGTGGCTAAGATCTACAGCTGCCTTGTAAGTCATTGGTCTTAAAGGTACCGAGCTCGAATTAATTCCCGAGACC</t>
  </si>
  <si>
    <t>CAATCCGCCCTCACTACAACCGGGTCTCGTGCTAGAGATTTTCCACACTGACTAAAAGGGTCTGAGGGATCTCTAGTTACCAGAGTCACACAACAGACGGGCACACACTACTTGAAGCACTCAAGGCAAGCTTTATTGAGGCTTAAGCAGTGGGTTCCCTAGTTAGCCAGAGAGCTCCCAGGCTCAGATCTGGTCTAACCAGAGAAACCCAGTACAAGCAAAAAGCAGTGTCTCAAGATCTAGTTACGCCAAGCTTAAAAAAGCACCGACTCGGTGCCACTTTTTCAAGTTGATAACGGACTAGCCTTATTTTAACTTGCTATTTCTAGCTCTAAAACAGAGACGTCTAGAAGATATCTCCCTTCGTCTCCGGTGTTTCGTCCTTTCCACAAGATATATAAAGCCAAGAAATCGAAATACTTTCAAGTTACGGTAAGCATATGATAGTCCATTTTAAAACATAATTTTAAAACTGCAAACTACCCAAGAAATTATTACTTTCTACGTCACGTATTTTGTACTAATATCTTTGTGTTTACAGTCAAATTAATTCTAATTATCTCTCTAACAGCCTTGTATCGTATATGCAAATATGAAGGAATCATGGGAAATAGGCCCTCTCTGGGTCCCCTCGGGGTTGGGAGGTGGGTCTGAAACGATAATGGTGAAATCTTGTCTTCGTTGGGAGTGAATTAGCCCTTCCAGTCCCCCCTTTTCTTTTAAAAAGTGGCTAAGATCTACAGCTGCCTTGTAAGTCATTGGTCTTAAAGGTACCGAGCTCGAATTAATTCCCGAGACCCTACTCTGGCGTCGATGAGGGA</t>
  </si>
  <si>
    <t>F6 (3'LTR_BsaI-ve)</t>
  </si>
  <si>
    <t>A2</t>
  </si>
  <si>
    <t>GGTCTCGTGCTAGAGATTTTCCACACTGACTAAAAGGGTCTGAGGGATCTCTAGTTACCAGAGTCACACAACAGACGGGCACACACTACTTGAAGCACTCAAGGCAAGCTTTATTGAGGCTTAAGCAGTGGGTTCCCTAGTTAGCCAGAGAGCTCCCAGGCTCAGATCTGGTCTAACCAGAGAAACCCAGTACAAGCAAAAAGCAGATCTTGTCTTCGTTGGGAGTGAATTAGCCCTTCCAGTCCCCCCTTTTCTTTTAAAAAGTGGCTAAGATCTACAGCTGCCTTGTAAGTCATTGGTCTTAAAGGTACCGAGCTCGAATTAATTCCCGAGACC</t>
  </si>
  <si>
    <t>CAATCCGCCCTCACTACAACCGGGTCTCGTGCTAGAGATTTTCCACACTGACTAAAAGGGTCTGAGGGATCTCTAGTTACCAGAGTCACACAACAGACGGGCACACACTACTTGAAGCACTCAAGGCAAGCTTTATTGAGGCTTAAGCAGTGGGTTCCCTAGTTAGCCAGAGAGCTCCCAGGCTCAGATCTGGTCTAACCAGAGAAACCCAGTACAAGCAAAAAGCAGATCTTGTCTTCGTTGGGAGTGAATTAGCCCTTCCAGTCCCCCCTTTTCTTTTAAAAAGTGGCTAAGATCTACAGCTGCCTTGTAAGTCATTGGTCTTAAAGGTACCGAGCTCGAATTAATTCCCGAGACCCTACTCTGGCGTCGATGAGGGA</t>
  </si>
  <si>
    <t>F8 (SV40)</t>
  </si>
  <si>
    <t>B2</t>
  </si>
  <si>
    <t>GGTCTCGGCGTCCCATTCGCCATTCAGGCTGCGCAACTGTTGGGAAGGGCGATCGGTGCGGGCCTCTTCGCTATTACGCCAGCTGGCGAAAGGGGGATGTGCTGCAAGGCGATTAAGTTGGGTAACGCCAGGGTTTTCCCAGTCACGACGTTGTAAAACGACGGCCAGTGAGCGCGCGTAATACGACTCACTATAGGGCGAATTGGGTACGTCCCTAGGCCTCCAAAAAAGCCTCCTCACTACTTCTGGAATAGCTCAGAGGCCGAGGCGGCCTCGGCCTCTGCATAAATAAAAAAAATTAGTCAGCCATGGGGCGGAGAATGGGCGGAACTGGGCGGAGTTAGGGGCGGGATGGGCGGAGTTAGGGGCGGGATAGCTAGAGCCAGACATGATAAGATACATTGATGAGTTTGGACAAACCACAACTAGAATGCAGTGAAAAAAATGCTTTATTTGTGAAATTTGTGATGCTATTGCTTTATTTGTAACCATTATAAGCTGCAATAAACAAGTTCCTCTCACTCTCTGATATTCATTTCTTTGCAAGTTATAAATACTGAATAATAAGATGACATGAACTACTACTGCTCGAGACC</t>
  </si>
  <si>
    <t>CAATCCGCCCTCACTACAACCGGGTCTCGGCGTCCCATTCGCCATTCAGGCTGCGCAACTGTTGGGAAGGGCGATCGGTGCGGGCCTCTTCGCTATTACGCCAGCTGGCGAAAGGGGGATGTGCTGCAAGGCGATTAAGTTGGGTAACGCCAGGGTTTTCCCAGTCACGACGTTGTAAAACGACGGCCAGTGAGCGCGCGTAATACGACTCACTATAGGGCGAATTGGGTACGTCCCTAGGCCTCCAAAAAAGCCTCCTCACTACTTCTGGAATAGCTCAGAGGCCGAGGCGGCCTCGGCCTCTGCATAAATAAAAAAAATTAGTCAGCCATGGGGCGGAGAATGGGCGGAACTGGGCGGAGTTAGGGGCGGGATGGGCGGAGTTAGGGGCGGGATAGCTAGAGCCAGACATGATAAGATACATTGATGAGTTTGGACAAACCACAACTAGAATGCAGTGAAAAAAATGCTTTATTTGTGAAATTTGTGATGCTATTGCTTTATTTGTAACCATTATAAGCTGCAATAAACAAGTTCCTCTCACTCTCTGATATTCATTTCTTTGCAAGTTATAAATACTGAATAATAAGATGACATGAACTACTACTGCTCGAGACCCTACTCTGGCGTCGATGAGGGA</t>
  </si>
  <si>
    <t>F9 (F1ori)</t>
  </si>
  <si>
    <t>C2</t>
  </si>
  <si>
    <t>GGTCTCCCATA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GGAGACC</t>
  </si>
  <si>
    <t>CAATCCGCCCTCACTACAACCGGGTCTCCCATAAAATTGTAAGCGTTAATATTTTGTTAAAATTCGCGTTAAATTTTTGTTAAATCAGCTCATTTTTTAACCAATAGGCCGAAATCGGCAAAATCCCTTATAAATCAAAAGAATAGACCGAGATAGGGTTGAGTGTTGTTCCAGTTTGGAACAAGAGTCCACTATTAAAGAACGTGGACTCCAACGTCAAAGGGCGAAAAACCGTCTATCAGGGCGATGGCCCACTACGTGAACCATCACCCTAATCAAGTTTTTTGGGGTCGAGGTGCCGTAAAGCACTAAATCGGAACCCTAAAGGGAGCCCCCGATTTAGAGCTTGACGGGGAAAGCCGGCGAACGTGGCGAGAAAGGAAGGGAAGAAAGCGAAAGGAGCGGGCGCTAGGGCGCTGGCAAGTGTAGCGGTCACGCTGCGCGTAACCACCACACCCGCCGCGCTTAATGCGCCGCTACAGGGCGCGTGGAGACCCTACTCTGGCGTCGATGAGGGA</t>
  </si>
  <si>
    <t>F10 (mRNA-BsmbI)</t>
  </si>
  <si>
    <t>D2</t>
  </si>
  <si>
    <t>GGTCTCGCGGCCAGTGAATTCTAATACGACTCACTATAAGGACTCTTCTGGTCCCCACAGACTCAGAGAGAACCCGCCACCGGAGACGAAGGGAGATATCTTCTAGACGTCTCACTCGAGCTGCCTTCTGCGGGGCTTGCCTTCTGGCCATGCCCTTCTTCTCTCCCTTGCACCTGTACCTCTTGGTCTTTGAATAAAGCCTGAGTAGGAAGAAAAAAAAAATAAGCTTTCTAGACGAGACCGACAAGCATCCAATAATGACCCCTTGGGGAGGGTATAGTAGAGCTTCAACTGGTCCCG</t>
  </si>
  <si>
    <t>CAATCCGCCCTCACTACAACCGGGTCTCGCGGCCAGTGAATTCTAATACGACTCACTATAAGGACTCTTCTGGTCCCCACAGACTCAGAGAGAACCCGCCACCGGAGACGAAGGGAGATATCTTCTAGACGTCTCACTCGAGCTGCCTTCTGCGGGGCTTGCCTTCTGGCCATGCCCTTCTTCTCTCCCTTGCACCTGTACCTCTTGGTCTTTGAATAAAGCCTGAGTAGGAAGAAAAAAAAAATAAGCTTTCTAGACGAGACCGACAAGCATCCAATAATGACCCCTTGGGGAGGGTATAGTAGAGCTTCAACTGGTCCCGCTACTCTGGCGTCGATGAGGGA</t>
  </si>
  <si>
    <t>F11</t>
  </si>
  <si>
    <t>E2</t>
  </si>
  <si>
    <t>GGTCTCGTAGA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TTTCCGAGACC</t>
  </si>
  <si>
    <t>CAATCCGCCCTCACTACAACCGGGTCTCGTAGA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TTTCCGAGACCCTACTCTGGCGTCGATGAGGGA</t>
  </si>
  <si>
    <t>F13 (WPRE)</t>
  </si>
  <si>
    <t>GGTCTCGTTCCAGGCGGGGAGGCGGCCCAAAGGGAGATCCGACTCGTCTGAGGGCGAAGGCGAAGATGCGGAAGAGGCCGCAGAGCCGGCAGCAGGCCGCGGGAAGGAAGGTCCGCTGGATTGAGGGCCGAAGGGACGTAGCAGAAGGACGTCCCGCGCAGAATCCAGGTGGCAACACAGGCGAGCAGCCATGGAAAGGACGTCAGCTTCCCCGACAACACCACGGAATTGTCAGTGCCCAACAGCCGAGCCCCTGTCCAGCAGCGGGCAAGGCAGGCGGCGATGAGTTCCGCCGTGGCAATAGGGAGGGGGAAAGCGAAAGTCCCGGAAAGGAGCTGACAGGTGGTGGCAATGCCCCAACCAGTGGGGGTTGCGTCAGCAAACACAGTGCACACCACGCCACGTTGCCTGACAACGGGCCACAACTCCTCATAAAGAGACAGCAACCAGGATTTATACAAGGAGGAGAAAATGAAAGCCATACGGGAAGCAATAGCATGATACAAAGGCATTAAAGCAGCGTATCCACATAGCGTAAAAGGAGCAACATAGTTAAGAATACCAGTCAATCTTTCACAAATTTTGTAATCCAGAGGTTGATTCGAGACC</t>
  </si>
  <si>
    <t>CAATCCGCCCTCACTACAACCGGGTCTCGTTCCAGGCGGGGAGGCGGCCCAAAGGGAGATCCGACTCGTCTGAGGGCGAAGGCGAAGATGCGGAAGAGGCCGCAGAGCCGGCAGCAGGCCGCGGGAAGGAAGGTCCGCTGGATTGAGGGCCGAAGGGACGTAGCAGAAGGACGTCCCGCGCAGAATCCAGGTGGCAACACAGGCGAGCAGCCATGGAAAGGACGTCAGCTTCCCCGACAACACCACGGAATTGTCAGTGCCCAACAGCCGAGCCCCTGTCCAGCAGCGGGCAAGGCAGGCGGCGATGAGTTCCGCCGTGGCAATAGGGAGGGGGAAAGCGAAAGTCCCGGAAAGGAGCTGACAGGTGGTGGCAATGCCCCAACCAGTGGGGGTTGCGTCAGCAAACACAGTGCACACCACGCCACGTTGCCTGACAACGGGCCACAACTCCTCATAAAGAGACAGCAACCAGGATTTATACAAGGAGGAGAAAATGAAAGCCATACGGGAAGCAATAGCATGATACAAAGGCATTAAAGCAGCGTATCCACATAGCGTAAAAGGAGCAACATAGTTAAGAATACCAGTCAATCTTTCACAAATTTTGTAATCCAGAGGTTGATTCGAGACCCTACTCTGGCGTCGATGAGGGA</t>
  </si>
  <si>
    <t>F14 (Ef1a-BsmbI)</t>
  </si>
  <si>
    <t>G2</t>
  </si>
  <si>
    <t>GGTCTCGGATTGTCGAGTCGACGACTCCGGAACGAATTCCGAGTGAGACGTCTAGAAGATATCTCCCTTCGTCTCCGGTGGCGACCGGTGGATCGGACCTGCAGCCCAAGCTTCTCACGACACCTGAAATGGAAGAAAAAAACTTTGAACCACTGTCTGAGGCTTGAGAATGAACCAAGATCCAAACTCAAAAAGGGCAAATTCCAAGGAGAATTACATCAAGTGCCAAGCTGGCCTAACTTCAGTCTCCACCCACTCAGTGTGGGGAAACTCCATCGCATAAAACCCCTCCCCCCAACCTAAAGACGACGTACTCCAAAAGCACGAGAACTAATCGAGGTGCCTGGACGGCGCCCGGTACTCAGTGGAGTCACATGAAGCGACGGCTGAGGACGGAAAGGCCCTTTTCCTTTGTGTGGGTGACTCACCCGCCCGCTCTCCCGAGCGCCGCGTCCTCCATTTTGAGCTCCCTGCAGCAGGGCCGGGAAGCGGCCATCTTTCCGCTCACGCAACTGGTGCCGACCGGGCCAGCCTTGCCGCCCAGGGCGGGGCGATACACGGCGGCGCGAGGCCAGGCACCAGAGCAGGCCGGCCAGCTTGAGACTACCCCCGTCCGATTCTCGGTGGCCGCGCTCGCAGGCCCCGCCTCGCCGAACATGTGCGCTGGGACGCACGGGCCCCGTCGCCGCCCGCGGCCCCAAAAACCGAAATACCAGTGTGCAGATCTTGGCCCGCATTTACAAGACTATCTTGCCAGAAAAAAAGCGTCGCAGCAGGTCATCAAAAATTTTAAATGGCTAGAGACTTATCGAAAGCAGCGAGACAGGCGCGAAGGTGCCACCAGATTCGCACGCGGCGGCCCCAGCGCCCAGGCCAGGCCTCAACTCAAGCACGAGGCGAAGGGGCTCCTTAAGCGCAAGGCCTCGAACTCTCCCACCCACTTCCAACCCGAAGCTCGGGATCAAGAATCACGTACTGCAGCCAGGTGGAAGTAATTCAAGGCACGCAAGGGCCATAACCCGTAAAGAGGCCAGGCCCGCGGGAACCACACACGGCACTTACCTGTGTTCTGGCGGCAAACCCGTTGCGAAAAAGAACGTTCACGGCGACTACTGCACTTATATACGGTTCTCCCCCACCCTCGGGAAAAAGGCGGAGCCAGTACACGACATCACTTTCCCAGTTTACCCCGCGCCACCTTCTCTAGGCACCGGTTCAATTGCCGACCCCTCCCCCCAACTTCTCGGGGACTGTGGGCGATGTGCGCTCTGCCCACTGACGGGCACCGGAGCCAGATCGAGACC</t>
  </si>
  <si>
    <t>CAATCCGCCCTCACTACAACCGGGTCTCGGATTGTCGAGTCGACGACTCCGGAACGAATTCCGAGTGAGACGTCTAGAAGATATCTCCCTTCGTCTCCGGTGGCGACCGGTGGATCGGACCTGCAGCCCAAGCTTCTCACGACACCTGAAATGGAAGAAAAAAACTTTGAACCACTGTCTGAGGCTTGAGAATGAACCAAGATCCAAACTCAAAAAGGGCAAATTCCAAGGAGAATTACATCAAGTGCCAAGCTGGCCTAACTTCAGTCTCCACCCACTCAGTGTGGGGAAACTCCATCGCATAAAACCCCTCCCCCCAACCTAAAGACGACGTACTCCAAAAGCACGAGAACTAATCGAGGTGCCTGGACGGCGCCCGGTACTCAGTGGAGTCACATGAAGCGACGGCTGAGGACGGAAAGGCCCTTTTCCTTTGTGTGGGTGACTCACCCGCCCGCTCTCCCGAGCGCCGCGTCCTCCATTTTGAGCTCCCTGCAGCAGGGCCGGGAAGCGGCCATCTTTCCGCTCACGCAACTGGTGCCGACCGGGCCAGCCTTGCCGCCCAGGGCGGGGCGATACACGGCGGCGCGAGGCCAGGCACCAGAGCAGGCCGGCCAGCTTGAGACTACCCCCGTCCGATTCTCGGTGGCCGCGCTCGCAGGCCCCGCCTCGCCGAACATGTGCGCTGGGACGCACGGGCCCCGTCGCCGCCCGCGGCCCCAAAAACCGAAATACCAGTGTGCAGATCTTGGCCCGCATTTACAAGACTATCTTGCCAGAAAAAAAGCGTCGCAGCAGGTCATCAAAAATTTTAAATGGCTAGAGACTTATCGAAAGCAGCGAGACAGGCGCGAAGGTGCCACCAGATTCGCACGCGGCGGCCCCAGCGCCCAGGCCAGGCCTCAACTCAAGCACGAGGCGAAGGGGCTCCTTAAGCGCAAGGCCTCGAACTCTCCCACCCACTTCCAACCCGAAGCTCGGGATCAAGAATCACGTACTGCAGCCAGGTGGAAGTAATTCAAGGCACGCAAGGGCCATAACCCGTAAAGAGGCCAGGCCCGCGGGAACCACACACGGCACTTACCTGTGTTCTGGCGGCAAACCCGTTGCGAAAAAGAACGTTCACGGCGACTACTGCACTTATATACGGTTCTCCCCCACCCTCGGGAAAAAGGCGGAGCCAGTACACGACATCACTTTCCCAGTTTACCCCGCGCCACCTTCTCTAGGCACCGGTTCAATTGCCGACCCCTCCCCCCAACTTCTCGGGGACTGTGGGCGATGTGCGCTCTGCCCACTGACGGGCACCGGAGCCAGATCGAGACCCTACTCTGGCGTCGATGAGGGA</t>
  </si>
  <si>
    <t>F15 (cppt-gp41)</t>
  </si>
  <si>
    <t>H2</t>
  </si>
  <si>
    <t>GGTCTCGAGATCTGGAGCCGACACGGGTTAATTAACCAAACTGGATCTCTGCTGTCCCTGTAATAAACCCGAAAATTTTGAATTTTTGTAATTTGTTTTTGTAATTCTTTAGTTTGTATGTCTGTTGCTATTATGTCTACTATTCTTTCCCCTGCACTGTACCCCCCAATCCCCCCTTTTCTTTTAAAATTGTGGATGAATACTGCCATTTGTCTGCAGAATTGGCGCACGCAGTGCCGATCCGTTCACTAATCGAATGGATCTGTCTCTGTCTCTCTCTCCACCTTCTTCTTCTATTCCTTCGGGCCTGTCGGGTCCCCTCGGGGTTGGGAGGTGGGTCTGAAACGATAATGGTGAATATCCCTGCCTAACTCTATTCACTATAGAAAGTACAGCAAAAACTATTCTTAAACCTACCAAGCCTCCTACTATCATTATGAATAATTTTATATACCACAGCCAATTTGTTATGTTAAACCAATTCCACAAACTTGCCCATTTATCTAATTCCAATAATTCTTGTTCATTCTTTTCTTGCTGGTTTTGCGATTCTTCAATTAAGGAGTGTATTAAGCTTCGAGACC</t>
  </si>
  <si>
    <t>CAATCCGCCCTCACTACAACCGGGTCTCGAGATCTGGAGCCGACACGGGTTAATTAACCAAACTGGATCTCTGCTGTCCCTGTAATAAACCCGAAAATTTTGAATTTTTGTAATTTGTTTTTGTAATTCTTTAGTTTGTATGTCTGTTGCTATTATGTCTACTATTCTTTCCCCTGCACTGTACCCCCCAATCCCCCCTTTTCTTTTAAAATTGTGGATGAATACTGCCATTTGTCTGCAGAATTGGCGCACGCAGTGCCGATCCGTTCACTAATCGAATGGATCTGTCTCTGTCTCTCTCTCCACCTTCTTCTTCTATTCCTTCGGGCCTGTCGGGTCCCCTCGGGGTTGGGAGGTGGGTCTGAAACGATAATGGTGAATATCCCTGCCTAACTCTATTCACTATAGAAAGTACAGCAAAAACTATTCTTAAACCTACCAAGCCTCCTACTATCATTATGAATAATTTTATATACCACAGCCAATTTGTTATGTTAAACCAATTCCACAAACTTGCCCATTTATCTAATTCCAATAATTCTTGTTCATTCTTTTCTTGCTGGTTTTGCGATTCTTCAATTAAGGAGTGTATTAAGCTTCGAGACCCTACTCTGGCGTCGATGAGGGA</t>
  </si>
  <si>
    <t>F16 (psi)</t>
  </si>
  <si>
    <t>A3</t>
  </si>
  <si>
    <t>GGTCTCGGCTTGTGTAATTGTTAATTTCTCTGTCCCACTCCATCCAGGTCGTGTGATTCCAAATCTGTTCCAGAGATTTATTACTCCAACTAGCATTCCAAGGCACAGCAGTGGTGCAAATGAGTTTTCCAGAGCAACCCCAAATCCCCAGGAGCTGTTGATCCTTTAGGTATCTTTCCACAGCCAGGATTCTTGCCTGGAGCTGCTTGATGCCCCAGACTGTGAGTTGCAACAGATGCTGTTGCGCCTCAATAGCCCTCAGCAAATTGTTCTGCTGCTGCACTATACCAGACAATAATTGTCTGGCCTGTACCGTCAGCGTCATTGACGCTGCGCCCATAGTGCTTCCTGCTGCTCCCAAGAACCCAAGGAACAAAGCTCCTATTCCCACTGCTCTTTTTTCTCTCTGCACCACTCTTCTCTTTGCCTTGGTGGGTGCTACTCCTAATGGTTCAATTTTTACTACTTTATATTTATATAATTCACTTCTCCAATTGTCCCTCATATCTCCTCCTCCAGGTCTGAAGATCAGCGGCCGCTTGCTGTGCGGTGGTCTTACTTTTGTTTTGCTCTTCCTCTATCTTGTCTAAAGCTTCCTTGGTGTCTTTTATCTCTATCCTTTGATGCACACAATAGAGGGTTGCTACTGTATTATATAATGATCTAAGTTCTTCTGATCCTGTCTGAAGGGATGGTTGTAGCTGTCCCAGTATTTGTCTACAGCCTTCTGATGTTTCTAACAGGCCAGGATTAACTGCGAATCGTTCTAGCTCCCTGCTTGCCCATACTATATGTTTTAATTTATATTTTTTCTTTCCCCCTGGCCTTAACCGAATTTTTTCCCATCGCGATCTAATTCTCCCCCGCTTAATACTGACGCTCTCGCACCCATCTCTCTCCTTCTAGCCTCCGCTAGTCAAAATTTTTGGCGTACTCACCAGTCGCCGCCCCTCGCCTCTTGCCGTGCGCGCTTCAGCAAGCCGAGTCCTGCGTCGAGAGAGCGAGACC</t>
  </si>
  <si>
    <t>CAATCCGCCCTCACTACAACCGGGTCTCGGCTTGTGTAATTGTTAATTTCTCTGTCCCACTCCATCCAGGTCGTGTGATTCCAAATCTGTTCCAGAGATTTATTACTCCAACTAGCATTCCAAGGCACAGCAGTGGTGCAAATGAGTTTTCCAGAGCAACCCCAAATCCCCAGGAGCTGTTGATCCTTTAGGTATCTTTCCACAGCCAGGATTCTTGCCTGGAGCTGCTTGATGCCCCAGACTGTGAGTTGCAACAGATGCTGTTGCGCCTCAATAGCCCTCAGCAAATTGTTCTGCTGCTGCACTATACCAGACAATAATTGTCTGGCCTGTACCGTCAGCGTCATTGACGCTGCGCCCATAGTGCTTCCTGCTGCTCCCAAGAACCCAAGGAACAAAGCTCCTATTCCCACTGCTCTTTTTTCTCTCTGCACCACTCTTCTCTTTGCCTTGGTGGGTGCTACTCCTAATGGTTCAATTTTTACTACTTTATATTTATATAATTCACTTCTCCAATTGTCCCTCATATCTCCTCCTCCAGGTCTGAAGATCAGCGGCCGCTTGCTGTGCGGTGGTCTTACTTTTGTTTTGCTCTTCCTCTATCTTGTCTAAAGCTTCCTTGGTGTCTTTTATCTCTATCCTTTGATGCACACAATAGAGGGTTGCTACTGTATTATATAATGATCTAAGTTCTTCTGATCCTGTCTGAAGGGATGGTTGTAGCTGTCCCAGTATTTGTCTACAGCCTTCTGATGTTTCTAACAGGCCAGGATTAACTGCGAATCGTTCTAGCTCCCTGCTTGCCCATACTATATGTTTTAATTTATATTTTTTCTTTCCCCCTGGCCTTAACCGAATTTTTTCCCATCGCGATCTAATTCTCCCCCGCTTAATACTGACGCTCTCGCACCCATCTCTCTCCTTCTAGCCTCCGCTAGTCAAAATTTTTGGCGTACTCACCAGTCGCCGCCCCTCGCCTCTTGCCGTGCGCGCTTCAGCAAGCCGAGTCCTGCGTCGAGAGAGCGAGACCCTACTCTGGCGTCGATGAGGGA</t>
  </si>
  <si>
    <t>F17 (BsmbI)</t>
  </si>
  <si>
    <t>B3</t>
  </si>
  <si>
    <t>GGTCTCGTTCCGCGGCCGCTTGTTGAGACGAAGGGAGATATCTTCTAGACGTCTCTGGGAAATCAGATCGAGACCGAGATCACGCAGAACAGAGGTGCCTCGAAATCTCACTTTGTTATCGGGACATCTAGTGACCGAGGATCAAGGCAGTTTCATGGTGCGTCATTACTAAATGGCTGATTCTGCCCGCGTAATTGTTTGAAGTGCCGATGTAGTCTCCCAGCCTCGTGAACCGTGACTGACCCAGTTCTCTGTGTAGGCACTGAACGCGTTCTATTATTGGGTCACTGTGCGTGCGAT</t>
  </si>
  <si>
    <t>CAATCCGCCCTCACTACAACCGGGTCTCGTTCCGCGGCCGCTTGTTGAGACGAAGGGAGATATCTTCTAGACGTCTCTGGGAAATCAGATCGAGACCGAGATCACGCAGAACAGAGGTGCCTCGAAATCTCACTTTGTTATCGGGACATCTAGTGACCGAGGATCAAGGCAGTTTCATGGTGCGTCATTACTAAATGGCTGATTCTGCCCGCGTAATTGTTTGAAGTGCCGATGTAGTCTCCCAGCCTCGTGAACCGTGACTGACCCAGTTCTCTGTGTAGGCACTGAACGCGTTCTATTATTGGGTCACTGTGCGTGCGATCTACTCTGGCGTCGATGAGGGA</t>
  </si>
  <si>
    <t>F17 (BsmbI-U6trunc)</t>
  </si>
  <si>
    <t>C3</t>
  </si>
  <si>
    <t>GGTCTCGTTCCGCGGCCGCGAGGGCCTATTTCCCATGATTCCTTCATATTTGCATATACGATACAAGGCTGTTAGAGAGATAATTAGAATTAATTTGACTGTAAACACAAAGATATTAGTACAAAATACGTGACGTAGAAAGTAATAATTTCTTGGGTAGTTTGCAGTTTTAAAATTATGTTTTAAAATGGACTATCATATGCTTACCGTAACTTGAAAGTATTTCGATTTCTTGGCTTTATATATCTTGTTGAGACGAAGGGAGATATCTTCTAGACGTCTCCCCGAAGATCGAGACCC</t>
  </si>
  <si>
    <t>CAATCCGCCCTCACTACAACCGGGTCTCGTTCCGCGGCCGCGAGGGCCTATTTCCCATGATTCCTTCATATTTGCATATACGATACAAGGCTGTTAGAGAGATAATTAGAATTAATTTGACTGTAAACACAAAGATATTAGTACAAAATACGTGACGTAGAAAGTAATAATTTCTTGGGTAGTTTGCAGTTTTAAAATTATGTTTTAAAATGGACTATCATATGCTTACCGTAACTTGAAAGTATTTCGATTTCTTGGCTTTATATATCTTGTTGAGACGAAGGGAGATATCTTCTAGACGTCTCCCCGAAGATCGAGACCCCTACTCTGGCGTCGATGAGGGA</t>
  </si>
  <si>
    <t>F18</t>
  </si>
  <si>
    <t>D3</t>
  </si>
  <si>
    <t>GGTCTCGAGAGCTCCTCTGGTTTCCCTTTCGCTTTCAAGTCCCTGTTCGGGCGCCACTGCTAGAGATTTTCCACACTGACTAAAAGGGTCTGAGGGATCTCTAGTTACCAGAGTCACACAACAGACGGGCACACACTACTTGAAGCACTCAAGGCAAGCTTTATTGAGGCTTAAGCAGTGGGTTCCCTAGTTAGCCAGAGAGCTCCCAGGCTCAGATCTGGTCTAACCAGAGAAACCCGTTTATGTATCGAGCTAGGCACTTAAATACAATATCTCTGCAATGCGGCAATTCAGTGGTTCGTCCAATCCATGTCAGACCCGTCTGTTGCCTTCCTAATAAGGCACGATCGTACCACCTTACTTCCACCAATCGGCATGCACGGTGCTTTTTCTCTCCTTGTAAGGCATGTTGCTAACTCATCGTTACCATGTTGCAAGACTACAAGAGTATTGCATAAGACTACATTAAGCTTGCAGCTCCAGCTTTTGTTCCCTTTAGTGAGGGTTAATTGCGC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GAGACC</t>
  </si>
  <si>
    <t>CAATCCGCCCTCACTACAACCGGGTCTCGAGAGCTCCTCTGGTTTCCCTTTCGCTTTCAAGTCCCTGTTCGGGCGCCACTGCTAGAGATTTTCCACACTGACTAAAAGGGTCTGAGGGATCTCTAGTTACCAGAGTCACACAACAGACGGGCACACACTACTTGAAGCACTCAAGGCAAGCTTTATTGAGGCTTAAGCAGTGGGTTCCCTAGTTAGCCAGAGAGCTCCCAGGCTCAGATCTGGTCTAACCAGAGAAACCCGTTTATGTATCGAGCTAGGCACTTAAATACAATATCTCTGCAATGCGGCAATTCAGTGGTTCGTCCAATCCATGTCAGACCCGTCTGTTGCCTTCCTAATAAGGCACGATCGTACCACCTTACTTCCACCAATCGGCATGCACGGTGCTTTTTCTCTCCTTGTAAGGCATGTTGCTAACTCATCGTTACCATGTTGCAAGACTACAAGAGTATTGCATAAGACTACATTAAGCTTGCAGCTCCAGCTTTTGTTCCCTTTAGTGAGGGTTAATTGCGC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GAGACCCTACTCTGGCGTCGATGAGGGA</t>
  </si>
  <si>
    <t>F19</t>
  </si>
  <si>
    <t>E3</t>
  </si>
  <si>
    <t>GGTCTCGAGAGCTCCTCTGGTTTCCCTTTCGCTTTCAAGTCCCTGTTCGGGCGCCACTGCTAGAGATTTTCCACACTGACTAAAAGGGTCTGAGGGATCTCTAGTTACCAGAGTCACACAACAGACGGGCACACACTACTTGAAGCACTCAAGGCAAGCTTTATTGAGGCTTAAGCAGTGGGTTCCCTAGTTAGCCAGAGAGCTCCCAGGCTCAGATCTGGTCTAACCAGAGAAACCCAGTACAGGCAAAAAGCAGCTGCTTATATGCAGGATCTGAGGGCTCGCCACTCCCCAGTCCCGCCCAGGCCACGCCTCCCTGGAAAGTCCCCAGCGGAAAGTCCCTTGTAGCAAGCTCGATATCAGCAGTTCTTGAAGTACTCCGGATGCAGCTCTCGGGCCACGTGATGAAATGCTAGGCGGCTGTCAAACCTCCACTCTAACACTTCTCTCTCCGGGTCATCCATCCCATGCAGGCTCACAGGGTGTAACAAGCTGGTGTTCTCTCCTTTATTGGCCTCTTCTACCTTATCTGGCTCAACTGGTACTAGCTTGTAGCACCATCCAAAGGTCAGTGGATATCTGACCCCTGGCCCTGGTGTGTAGTTCTGCTAATCAGGGAAGTAGCCTTGTGTGTGGTAGATCCACAGATCAAGGATATCTTGTCTTCTTTGGGAGTGAATTAGCCCTTCCAACTACTAAGTTTGTAGTACATATTTAACAAATACAATTTCTTTAAAATGAAAATAATTCAGAGGAATCACAGGTTTAGAGTAAATGAAACCACAGGTAATTGGCAGTGGTAATAGGGTATGGGGTGGGAAGTTTGGGATGATTTTGGTTAGCTTGAGTTATCCAGTTGATCCAGACATGATAAGATACATTGATGAGTTTGGACAAACCACAACTAGAATGCAGTGAAAAAAATGCTTTATTTGTGAAATTTGTGATGCTATTGCTTTATTTGTAACCATTATAAGCTGCAATAAACAAGTTCGAGACC</t>
  </si>
  <si>
    <t>CAATCCGCCCTCACTACAACCGGGTCTCGAGAGCTCCTCTGGTTTCCCTTTCGCTTTCAAGTCCCTGTTCGGGCGCCACTGCTAGAGATTTTCCACACTGACTAAAAGGGTCTGAGGGATCTCTAGTTACCAGAGTCACACAACAGACGGGCACACACTACTTGAAGCACTCAAGGCAAGCTTTATTGAGGCTTAAGCAGTGGGTTCCCTAGTTAGCCAGAGAGCTCCCAGGCTCAGATCTGGTCTAACCAGAGAAACCCAGTACAGGCAAAAAGCAGCTGCTTATATGCAGGATCTGAGGGCTCGCCACTCCCCAGTCCCGCCCAGGCCACGCCTCCCTGGAAAGTCCCCAGCGGAAAGTCCCTTGTAGCAAGCTCGATATCAGCAGTTCTTGAAGTACTCCGGATGCAGCTCTCGGGCCACGTGATGAAATGCTAGGCGGCTGTCAAACCTCCACTCTAACACTTCTCTCTCCGGGTCATCCATCCCATGCAGGCTCACAGGGTGTAACAAGCTGGTGTTCTCTCCTTTATTGGCCTCTTCTACCTTATCTGGCTCAACTGGTACTAGCTTGTAGCACCATCCAAAGGTCAGTGGATATCTGACCCCTGGCCCTGGTGTGTAGTTCTGCTAATCAGGGAAGTAGCCTTGTGTGTGGTAGATCCACAGATCAAGGATATCTTGTCTTCTTTGGGAGTGAATTAGCCCTTCCAACTACTAAGTTTGTAGTACATATTTAACAAATACAATTTCTTTAAAATGAAAATAATTCAGAGGAATCACAGGTTTAGAGTAAATGAAACCACAGGTAATTGGCAGTGGTAATAGGGTATGGGGTGGGAAGTTTGGGATGATTTTGGTTAGCTTGAGTTATCCAGTTGATCCAGACATGATAAGATACATTGATGAGTTTGGACAAACCACAACTAGAATGCAGTGAAAAAAATGCTTTATTTGTGAAATTTGTGATGCTATTGCTTTATTTGTAACCATTATAAGCTGCAATAAACAAGTTCGAGACCCTACTCTGGCGTCGATGAGGGA</t>
  </si>
  <si>
    <t>F20</t>
  </si>
  <si>
    <t>GGTCTCGAGTTAACAACAACAATTGCATTCATTTTATGTTTCAGGTTCAGGGGGAGGTGTGGGAGGTTTTTTAAAGCAAGTAAAACCTCTACAAATGTGGTATGGCTGATTATGATCTCTAGTCAAGGCACTATACATCAAATATTCCTTATTAACCCCTTTACAAATTAAAAAGCTAAAGGTACACAATTTTTGAGCATAGTTATTAATAGCAGACACTCTATGCCTGTGTGGAGTAAGAAAAAACAGTATGTTATGATTATAACTGTTATGCCTACTTATAAAGGTTACAGAATATTTTTCCATAATTTTCTTGTATAGCAGTGCAGCTTTTTCCTTTGTGGTGTAAATAGCAAAGCAAGCAAGAGTTCTATTACTAAACACAGCATGACTCAAAAAACTTAGCAATTCTGAAGGAAAGTCCTTGGGGTCTTCTACCTTTCTCTTCTTTTTTGGAGGAGTAGAATGTTGAGAGTCAGCAGTAGCCTCATCATCACTAGATGGCATTTCTTCTGAGCAAAACAGGTTTTCCTCATTAAAGGCATTCCACCACTGCTCCCATTCATCAGTTCCATAGGTTGGAATCTAAAATACACAAACAATTAGAATCAGTAGTTTAACACATTATACACTTAAAAATTTTATATTTACCTTAGAGCTTTAAATCTCTGTAGGTAGTTTGTCCAATTATGTCACACCACAGAAGTAAGGTTCCTTCACAAAGATCCGGGGCCCACTCATAAATCCAGTTGCCGCCACGGTAGCCAATCACCGTATCGTATAAATCATCGTCGGTACGTTCGGCATCGCTCATCACAATACGTGCCTGGACGTCGAGGATTTCGCGTGGGTCAATGCCGCGCCAGATCCACATCAGACGGTTAATCATGCGATACCAGTGAGGGATGGTTTTACCATCAAGGGCCGACTGCACAGGCGGTTGTGCGCCGTGATTAAAGCGGCGGACTAGCGTCGAGGTTTCAGGATGTTTAAAGCGGGGTTTGAACAGGGTTTCGCTCAGGTTTGCCTGTGTCATGGATGCAGCCTCCAGAATACTTACTGGAAACTATTGTAACCCGCCTGAAGTTAAAAAGAACAACGCCCGGCAGTGCCAGGCGTTGAAAAGATTAGCGACCGGAGATTGGCGGGACGAATACGACGCCCATATCCCACGGCTGTTCAATCCAGGTATCTTGCGGGATATCAACAACATAGTCATCAACCAGCGGACGACCAGCCGGTTTTGCGAAGATGGTGACAAAGTGCGCTTTTGGATACATTTCACGAATCGCAACCGCAGTACCACCGGTATCCACCAGGTCATCAATAACGATGAAGCCTTCGCCATCGCCTTCTGCGCGTTTCAGCACTTTAAGCTCGCGCTGGTTGTCGTGATCGTAGCTGGAAATACAAACGGTATCGACATGACGAATACCCAGTTCACGCGCCAGTAACGCACCCGGTACAGACCGCCACGGCTTACGGCAATAATGCCTTTCCATTGTTCAGAAGGCATCAGTCGGCTTGCGAGTTTACGTGCATGGATCTGCAACATGTCCCAGGTGACGATGTATTTTTCGCTCATGTGAAGTGTCCCAGCCTGTTTATCTACGGCTTAAAAAGTGTTCGAGGGGAAAATAGGTTGCGCGAGATTATAGAGATCTGGCGCACTAAAAACCAGTATTTCACATGAGTCCGCGTCTTTTTACGCACTGCCTCTCCCTGACGCGGGATAAAGTGGTATTCTCAAACATATCTCGCAAGCCTGTCTTGTGTCCAAGCTTTTTGCGAGACC</t>
  </si>
  <si>
    <t>CAATCCGCCCTCACTACAACCGGGTCTCGAGTTAACAACAACAATTGCATTCATTTTATGTTTCAGGTTCAGGGGGAGGTGTGGGAGGTTTTTTAAAGCAAGTAAAACCTCTACAAATGTGGTATGGCTGATTATGATCTCTAGTCAAGGCACTATACATCAAATATTCCTTATTAACCCCTTTACAAATTAAAAAGCTAAAGGTACACAATTTTTGAGCATAGTTATTAATAGCAGACACTCTATGCCTGTGTGGAGTAAGAAAAAACAGTATGTTATGATTATAACTGTTATGCCTACTTATAAAGGTTACAGAATATTTTTCCATAATTTTCTTGTATAGCAGTGCAGCTTTTTCCTTTGTGGTGTAAATAGCAAAGCAAGCAAGAGTTCTATTACTAAACACAGCATGACTCAAAAAACTTAGCAATTCTGAAGGAAAGTCCTTGGGGTCTTCTACCTTTCTCTTCTTTTTTGGAGGAGTAGAATGTTGAGAGTCAGCAGTAGCCTCATCATCACTAGATGGCATTTCTTCTGAGCAAAACAGGTTTTCCTCATTAAAGGCATTCCACCACTGCTCCCATTCATCAGTTCCATAGGTTGGAATCTAAAATACACAAACAATTAGAATCAGTAGTTTAACACATTATACACTTAAAAATTTTATATTTACCTTAGAGCTTTAAATCTCTGTAGGTAGTTTGTCCAATTATGTCACACCACAGAAGTAAGGTTCCTTCACAAAGATCCGGGGCCCACTCATAAATCCAGTTGCCGCCACGGTAGCCAATCACCGTATCGTATAAATCATCGTCGGTACGTTCGGCATCGCTCATCACAATACGTGCCTGGACGTCGAGGATTTCGCGTGGGTCAATGCCGCGCCAGATCCACATCAGACGGTTAATCATGCGATACCAGTGAGGGATGGTTTTACCATCAAGGGCCGACTGCACAGGCGGTTGTGCGCCGTGATTAAAGCGGCGGACTAGCGTCGAGGTTTCAGGATGTTTAAAGCGGGGTTTGAACAGGGTTTCGCTCAGGTTTGCCTGTGTCATGGATGCAGCCTCCAGAATACTTACTGGAAACTATTGTAACCCGCCTGAAGTTAAAAAGAACAACGCCCGGCAGTGCCAGGCGTTGAAAAGATTAGCGACCGGAGATTGGCGGGACGAATACGACGCCCATATCCCACGGCTGTTCAATCCAGGTATCTTGCGGGATATCAACAACATAGTCATCAACCAGCGGACGACCAGCCGGTTTTGCGAAGATGGTGACAAAGTGCGCTTTTGGATACATTTCACGAATCGCAACCGCAGTACCACCGGTATCCACCAGGTCATCAATAACGATGAAGCCTTCGCCATCGCCTTCTGCGCGTTTCAGCACTTTAAGCTCGCGCTGGTTGTCGTGATCGTAGCTGGAAATACAAACGGTATCGACATGACGAATACCCAGTTCACGCGCCAGTAACGCACCCGGTACAGACCGCCACGGCTTACGGCAATAATGCCTTTCCATTGTTCAGAAGGCATCAGTCGGCTTGCGAGTTTACGTGCATGGATCTGCAACATGTCCCAGGTGACGATGTATTTTTCGCTCATGTGAAGTGTCCCAGCCTGTTTATCTACGGCTTAAAAAGTGTTCGAGGGGAAAATAGGTTGCGCGAGATTATAGAGATCTGGCGCACTAAAAACCAGTATTTCACATGAGTCCGCGTCTTTTTACGCACTGCCTCTCCCTGACGCGGGATAAAGTGGTATTCTCAAACATATCTCGCAAGCCTGTCTTGTGTCCAAGCTTTTTGCGAGACCCTACTCTGGCGTCGATGAGGGA</t>
  </si>
  <si>
    <t>F23</t>
  </si>
  <si>
    <t>G3</t>
  </si>
  <si>
    <t>GGTCTCGTCATGGGTAACAGTTTCTTGAAGTTGGAGAACAACATTCTGAGGGTAGGAGTCGAATATTAAGTAATCCTGACTCAATTAGCCACTGTTTTGAATCCACATACTCCAATACTCCTGAAATAGTTCATTATGGACAGCGCAGAAAGAGCTGGGGAGAAT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GAGACC</t>
  </si>
  <si>
    <t>CAATCCGCCCTCACTACAACCGGGTCTCGTCATGGGTAACAGTTTCTTGAAGTTGGAGAACAACATTCTGAGGGTAGGAGTCGAATATTAAGTAATCCTGACTCAATTAGCCACTGTTTTGAATCCACATACTCCAATACTCCTGAAATAGTTCATTATGGACAGCGCAGAAAGAGCTGGGGAGAAT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GAGACCCTACTCTGGCGTCGATGAGGGA</t>
  </si>
  <si>
    <t>3'UTR_SPLINTR</t>
  </si>
  <si>
    <t>H3</t>
  </si>
  <si>
    <t>GAATTCGATCTTGTCTTCGTTCCGGAGTCGTCGACTCGAC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ATCTTCGCCTTCGCCCTCAGACGAGTCGGATCTCCCTTTGGGCCGCCTCCCCGCCTGGAATTAATTCGAGCTCGGTACCTTTAAGACCAATGACTTACAAGGCAGCTGTAGATCTTAGCCACTTTTTAAAAGAAAAGGGGGGACTGGAAGGGCTACGTAACTCCCAACCCAGTCACACCTCAGGTACCAATGTCGTCTCGGATCCTCCGAGTGCGTCTCGCTAGCGCTCTAGTCTGAGTCTAGACTGTCCGGACTGTACTGGGTCTC</t>
  </si>
  <si>
    <t>CAATCCGCCCTCACTACAACCGGAATTCGATCTTGTCTTCGTTCCGGAGTCGTCGACTCGAC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ATCTTCGCCTTCGCCCTCAGACGAGTCGGATCTCCCTTTGGGCCGCCTCCCCGCCTGGAATTAATTCGAGCTCGGTACCTTTAAGACCAATGACTTACAAGGCAGCTGTAGATCTTAGCCACTTTTTAAAAGAAAAGGGGGGACTGGAAGGGCTACGTAACTCCCAACCCAGTCACACCTCAGGTACCAATGTCGTCTCGGATCCTCCGAGTGCGTCTCGCTAGCGCTCTAGTCTGAGTCTAGACTGTCCGGACTGTACTGGGTCTCCTACTCTGGCGTCGATGAGGGA</t>
  </si>
  <si>
    <t>D2-3xG4S-CD8TM</t>
  </si>
  <si>
    <t>A4</t>
  </si>
  <si>
    <t>CGTCTCATAAGGGCGGCGGCGGCAGCGGCGGCGGCGGCAGCGGCGGCGGCGGCAGCATCTACATCTGGGCGCCCTTGGCCGGGACTTGTGGGGTCCTTCTCCTGTCACTGGTTATCACCCTTTACTGCGGAGACGGATATGGGACTACTTACCTGCACAGATGCTACCATATGATTCTAGCAGGGATATCGTAGGGTTTAACTGTTCGGTACTGGACCACTCTCATATTGTGGCCGCTTATTAAACGAGCGGTCCGAATTCTGCGCTACTCCATCGCATCCCGCACGCCATCACCTTGCG</t>
  </si>
  <si>
    <t>CAATCCGCCCTCACTACAACCGCGTCTCATAAGGGCGGCGGCGGCAGCGGCGGCGGCGGCAGCGGCGGCGGCGGCAGCATCTACATCTGGGCGCCCTTGGCCGGGACTTGTGGGGTCCTTCTCCTGTCACTGGTTATCACCCTTTACTGCGGAGACGGATATGGGACTACTTACCTGCACAGATGCTACCATATGATTCTAGCAGGGATATCGTAGGGTTTAACTGTTCGGTACTGGACCACTCTCATATTGTGGCCGCTTATTAAACGAGCGGTCCGAATTCTGCGCTACTCCATCGCATCCCGCACGCCATCACCTTGCGCTACTCTGGCGTCGATGAGGGA</t>
  </si>
  <si>
    <t>D2-9xG4S-CD8TM</t>
  </si>
  <si>
    <t>B4</t>
  </si>
  <si>
    <t>CGTCTCATAAGGGTGGCGGTGGTAGTGGCGGTGGCGGGAGTGGCGGGGGGGGTTCCGGTGGAGGAGGATCTGGTGGTGGTGGGTCCGGTGGTGGTGGTTCTGGCGGAGGAGGATCCGGTGGAGGAGGATCAGGCGGCGGCGGCAGCATCTACATCTGGGCGCCCTTGGCCGGGACTTGTGGGGTCCTTCTCCTGTCACTGGTTATCACCCTTTACTGCGGAGACGAGGGTCATATGGATTGCCAACCCTAGGCCAAACCATTGCTCCGAGAATTCGATGTTCTCTATCTCGGCGGTCTGT</t>
  </si>
  <si>
    <t>CAATCCGCCCTCACTACAACCGCGTCTCATAAGGGTGGCGGTGGTAGTGGCGGTGGCGGGAGTGGCGGGGGGGGTTCCGGTGGAGGAGGATCTGGTGGTGGTGGGTCCGGTGGTGGTGGTTCTGGCGGAGGAGGATCCGGTGGAGGAGGATCAGGCGGCGGCGGCAGCATCTACATCTGGGCGCCCTTGGCCGGGACTTGTGGGGTCCTTCTCCTGTCACTGGTTATCACCCTTTACTGCGGAGACGAGGGTCATATGGATTGCCAACCCTAGGCCAAACCATTGCTCCGAGAATTCGATGTTCTCTATCTCGGCGGTCTGTCTACTCTGGCGTCGATGAGGGA</t>
  </si>
  <si>
    <t>D2-3xEAAAK-CD8TM</t>
  </si>
  <si>
    <t>C4</t>
  </si>
  <si>
    <t>CGTCTCATAAGGAAGCCGCTGCAAAAGAAGCCGCTGCAAAAGAAGCCGCCGCAAAGATCTACATCTGGGCGCCCTTGGCCGGGACTTGTGGGGTCCTTCTCCTGTCACTGGTTATCACCCTTTACTGCGGAGACGAATGGAGCACCACTTTAACTTAGTGGGTACCCTACGAGGCGTGCCATGAGAAAGCATCGCATCATAGGGCCCGGGCATGTATGAGCGCAGAATTGTGCTCGAAACCATCGAGCGCAGTAAAGCGTGACCCGTTAAGTCACCTAAAGGTTCAATGTCCAGCTTATA</t>
  </si>
  <si>
    <t>CAATCCGCCCTCACTACAACCGCGTCTCATAAGGAAGCCGCTGCAAAAGAAGCCGCTGCAAAAGAAGCCGCCGCAAAGATCTACATCTGGGCGCCCTTGGCCGGGACTTGTGGGGTCCTTCTCCTGTCACTGGTTATCACCCTTTACTGCGGAGACGAATGGAGCACCACTTTAACTTAGTGGGTACCCTACGAGGCGTGCCATGAGAAAGCATCGCATCATAGGGCCCGGGCATGTATGAGCGCAGAATTGTGCTCGAAACCATCGAGCGCAGTAAAGCGTGACCCGTTAAGTCACCTAAAGGTTCAATGTCCAGCTTATACTACTCTGGCGTCGATGAGGGA</t>
  </si>
  <si>
    <t>D2-IgG4-CD8TM</t>
  </si>
  <si>
    <t>D4</t>
  </si>
  <si>
    <t>CGTCTCATAAGGAGTCTAAGTACGGACCGCCTTGCCCACCGTGCCCAATCTACATCTGGGCGCCCTTGGCCGGGACTTGTGGGGTCCTTCTCCTGTCACTGGTTATCACCCTTTACTGCGGAGACGAAGGTTCCAAATTGTGCTACCATGTCTTGGCATACCTCGCTTCAGTTATGTCTAAACCGAACGATAGCTATGGGCCTCTCTTCTCACGACCCTTGGTATGCCTTACAGACCATGAAACACCTGCACGGTCGCAAATCAAAGGACGTGCTGGTCCTGCTGTAAGCCGCCCTTATG</t>
  </si>
  <si>
    <t>CAATCCGCCCTCACTACAACCGCGTCTCATAAGGAGTCTAAGTACGGACCGCCTTGCCCACCGTGCCCAATCTACATCTGGGCGCCCTTGGCCGGGACTTGTGGGGTCCTTCTCCTGTCACTGGTTATCACCCTTTACTGCGGAGACGAAGGTTCCAAATTGTGCTACCATGTCTTGGCATACCTCGCTTCAGTTATGTCTAAACCGAACGATAGCTATGGGCCTCTCTTCTCACGACCCTTGGTATGCCTTACAGACCATGAAACACCTGCACGGTCGCAAATCAAAGGACGTGCTGGTCCTGCTGTAAGCCGCCCTTATGCTACTCTGGCGTCGATGAGGGA</t>
  </si>
  <si>
    <t>D2-IgG4-CH2-CH3-CD8TM</t>
  </si>
  <si>
    <t>E4</t>
  </si>
  <si>
    <t>CGTCTCATAAGGAGTCTAAGTACGGACCGCCTTGCCCACCGTGCCCAGCACCACCTGTGGCAGGACCGTCAGTCTTCCTCTTCCCACCAAAACCCAAGGACACCCTGATGATCAGCCGGACCCCCGAGGTGACCTGCGTGGTGGTGGACGTGAGCCAGGAAGATCCCGAGGTCCAGTTCAATTGGTACGTGGACGGCGTGGAAGTGCACAACGCCAAGACCAAGCCCAGAGAGGAACAGTTCCAAAGCACCTACCGGGTGGTGTCTGTGCTGACCGTGCTGCACCAGGACTGGCTGAACGGCAAAGAATACAAGTGCAAGGTGTCCAACAAGGGCCTGCCCAGCAGCATCGAAAAGACCATCAGCAAGGCCAAGGGCCAGCCTCGCGAGCCCCAGGTGTACACCCTGCCTCCCTCCCAGGAAGAGATGACCAAGAACCAGGTGTCCCTGACCTGCCTGGTGAAGGGCTTCTACCCCAGCGACATCGCCGTGGAGTGGGAGAGCAACGGCCAGCCTGAGAACAACTACAAGACCACCCCTCCCGTGCTGGACAGCGACGGCAGCTTCTTCCTGTACAGCCGGCTGACCGTGGACAAGAGCCGGTGGCAGGAAGGCAACGTCTTTAGCTGCAGCGTGATGCACGAGGCCCTGCACAACCACTACACCCAGAAGAGCCTGAGCCTGTCCCTGGGCAAGATCTACATCTGGGCGCCCTTGGCCGGGACTTGTGGGGTCCTTCTCCTGTCACTGGTTATCACCCTTTACTGCGGAGACG</t>
  </si>
  <si>
    <t>CAATCCGCCCTCACTACAACCGCGTCTCATAAGGAGTCTAAGTACGGACCGCCTTGCCCACCGTGCCCAGCACCACCTGTGGCAGGACCGTCAGTCTTCCTCTTCCCACCAAAACCCAAGGACACCCTGATGATCAGCCGGACCCCCGAGGTGACCTGCGTGGTGGTGGACGTGAGCCAGGAAGATCCCGAGGTCCAGTTCAATTGGTACGTGGACGGCGTGGAAGTGCACAACGCCAAGACCAAGCCCAGAGAGGAACAGTTCCAAAGCACCTACCGGGTGGTGTCTGTGCTGACCGTGCTGCACCAGGACTGGCTGAACGGCAAAGAATACAAGTGCAAGGTGTCCAACAAGGGCCTGCCCAGCAGCATCGAAAAGACCATCAGCAAGGCCAAGGGCCAGCCTCGCGAGCCCCAGGTGTACACCCTGCCTCCCTCCCAGGAAGAGATGACCAAGAACCAGGTGTCCCTGACCTGCCTGGTGAAGGGCTTCTACCCCAGCGACATCGCCGTGGAGTGGGAGAGCAACGGCCAGCCTGAGAACAACTACAAGACCACCCCTCCCGTGCTGGACAGCGACGGCAGCTTCTTCCTGTACAGCCGGCTGACCGTGGACAAGAGCCGGTGGCAGGAAGGCAACGTCTTTAGCTGCAGCGTGATGCACGAGGCCCTGCACAACCACTACACCCAGAAGAGCCTGAGCCTGTCCCTGGGCAAGATCTACATCTGGGCGCCCTTGGCCGGGACTTGTGGGGTCCTTCTCCTGTCACTGGTTATCACCCTTTACTGCGGAGACGCTACTCTGGCGTCGATGAGGGA</t>
  </si>
  <si>
    <t>D2-IgG4-CH3-CD8TM</t>
  </si>
  <si>
    <t>F4</t>
  </si>
  <si>
    <t>CGTCTCATAAGGAGTCTAAGTACGGACCGCCTTGCCCACCGTGCCCAGGCCAGCCTCGCGAGCCCCAGGTGTACACCCTGCCTCCCTCCCAGGAAGAGATGACCAAGAACCAGGTGTCCCTGACCTGCCTGGTGAAGGGCTTCTACCCCAGCGACATCGCCGTGGAGTGGGAGAGCAACGGCCAGCCTGAGAACAACTACAAGACCACCCCTCCCGTGCTGGACAGCGACGGCAGCTTCTTCCTGTACAGCCGGCTGACCGTGGACAAGAGCCGGTGGCAGGAAGGCAACGTCTTTAGCTGCAGCGTGATGCACGAGGCCCTGCACAACCACTACACCCAGAAGAGCCTGAGCCTGTCCCTGGGCAAGATCTACATCTGGGCGCCCTTGGCCGGGACTTGTGGGGTCCTTCTCCTGTCACTGGTTATCACCCTTTACTGCGGAGACG</t>
  </si>
  <si>
    <t>CAATCCGCCCTCACTACAACCGCGTCTCATAAGGAGTCTAAGTACGGACCGCCTTGCCCACCGTGCCCAGGCCAGCCTCGCGAGCCCCAGGTGTACACCCTGCCTCCCTCCCAGGAAGAGATGACCAAGAACCAGGTGTCCCTGACCTGCCTGGTGAAGGGCTTCTACCCCAGCGACATCGCCGTGGAGTGGGAGAGCAACGGCCAGCCTGAGAACAACTACAAGACCACCCCTCCCGTGCTGGACAGCGACGGCAGCTTCTTCCTGTACAGCCGGCTGACCGTGGACAAGAGCCGGTGGCAGGAAGGCAACGTCTTTAGCTGCAGCGTGATGCACGAGGCCCTGCACAACCACTACACCCAGAAGAGCCTGAGCCTGTCCCTGGGCAAGATCTACATCTGGGCGCCCTTGGCCGGGACTTGTGGGGTCCTTCTCCTGTCACTGGTTATCACCCTTTACTGCGGAGACGCTACTCTGGCGTCGATGAGGGA</t>
  </si>
  <si>
    <t>D2-CD28v2(axicel)-CD8TM</t>
  </si>
  <si>
    <t>G4</t>
  </si>
  <si>
    <t>CGTCTCATAAGATTGAAGTTATGTATCCTCCTCCTTACCTAGACAATGAGAAGAGCAATGGAACCATTATCCATGTGAAAGGGAAACACCTTTGTCCAAGTCCCCTATTTCCCGGACCTTCTAAGCCCATCTACATCTGGGCGCCCTTGGCCGGGACTTGTGGGGTCCTTCTCCTGTCACTGGTTATCACCCTTTACTGCGGAGACGGTCAATTCTCATCTATTCACCGTGACCACCTGATTCCACGTAGCTTATGTCGGTCAATTATGGTCCGCCCGGTCAACAACAGCAGGGCACCTA</t>
  </si>
  <si>
    <t>CAATCCGCCCTCACTACAACCGCGTCTCATAAGATTGAAGTTATGTATCCTCCTCCTTACCTAGACAATGAGAAGAGCAATGGAACCATTATCCATGTGAAAGGGAAACACCTTTGTCCAAGTCCCCTATTTCCCGGACCTTCTAAGCCCATCTACATCTGGGCGCCCTTGGCCGGGACTTGTGGGGTCCTTCTCCTGTCACTGGTTATCACCCTTTACTGCGGAGACGGTCAATTCTCATCTATTCACCGTGACCACCTGATTCCACGTAGCTTATGTCGGTCAATTATGGTCCGCCCGGTCAACAACAGCAGGGCACCTACTACTCTGGCGTCGATGAGGGA</t>
  </si>
  <si>
    <t>D2-CD28v1-CD8TM</t>
  </si>
  <si>
    <t>H4</t>
  </si>
  <si>
    <t>CGTCTCATAAGAAACACCTTTGTCCAAGTCCCCTATTTCCCGGACCTTCTAAGCCCATCTACATCTGGGCGCCCTTGGCCGGGACTTGTGGGGTCCTTCTCCTGTCACTGGTTATCACCCTTTACTGCGGAGACGCCCGGCACAGCGGATTATTATGTAACGGACGGATAAGATGCATTTGCCGCAATAACGGTACGTGAGTTCAGGACTGCTACAGACGTCCACCACTATGCCGAGGGCAAGTAGTGAATATGTGCAAGCCGCACTCTGCCTACTCATTAAACGTCGGGACGGATAAAT</t>
  </si>
  <si>
    <t>CAATCCGCCCTCACTACAACCGCGTCTCATAAGAAACACCTTTGTCCAAGTCCCCTATTTCCCGGACCTTCTAAGCCCATCTACATCTGGGCGCCCTTGGCCGGGACTTGTGGGGTCCTTCTCCTGTCACTGGTTATCACCCTTTACTGCGGAGACGCCCGGCACAGCGGATTATTATGTAACGGACGGATAAGATGCATTTGCCGCAATAACGGTACGTGAGTTCAGGACTGCTACAGACGTCCACCACTATGCCGAGGGCAAGTAGTGAATATGTGCAAGCCGCACTCTGCCTACTCATTAAACGTCGGGACGGATAAATCTACTCTGGCGTCGATGAGGGA</t>
  </si>
  <si>
    <t>D2-9xEAAAK-CD8TM</t>
  </si>
  <si>
    <t>A5</t>
  </si>
  <si>
    <t>CGTCTCATAAGGAAGCAGCAGCGAAGGAAGCCGCAGCAAAAGAGGCAGCCGCCAAGGAAGCGGCCGCAAAAGAGGCGGCCGCGAAAGAAGCGGCAGCAAAAGAGGCGGCAGCCAAGGAAGCAGCAGCAAAAGAAGCCGCGGCTAAAATCTACATCTGGGCGCCCTTGGCCGGGACTTGTGGGGTCCTTCTCCTGTCACTGGTTATCACCCTTTACTGCGGAGACGCCTATGTGAACCTCCGCTTGGTTTGCGGAGCGATGTGAGTATGCTAACACGGAATGTCATCGTGGACTCGATAAG</t>
  </si>
  <si>
    <t>CAATCCGCCCTCACTACAACCGCGTCTCATAAGGAAGCAGCAGCGAAGGAAGCCGCAGCAAAAGAGGCAGCCGCCAAGGAAGCGGCCGCAAAAGAGGCGGCCGCGAAAGAAGCGGCAGCAAAAGAGGCGGCAGCCAAGGAAGCAGCAGCAAAAGAAGCCGCGGCTAAAATCTACATCTGGGCGCCCTTGGCCGGGACTTGTGGGGTCCTTCTCCTGTCACTGGTTATCACCCTTTACTGCGGAGACGCCTATGTGAACCTCCGCTTGGTTTGCGGAGCGATGTGAGTATGCTAACACGGAATGTCATCGTGGACTCGATAAGCTACTCTGGCGTCGATGAGGGA</t>
  </si>
  <si>
    <t>D2-3xG4S_3xEAAAK-CD8TM</t>
  </si>
  <si>
    <t>B5</t>
  </si>
  <si>
    <t>CGTCTCATAAGGGCGGCGGCGGCAGCGGCGGCGGCGGCAGCGGCGGCGGCGGCAGCGAAGCCGCGGCTAAAGAAGCCGCGGCTAAAGAAGCCGCGGCTAAAATCTACATCTGGGCGCCCTTGGCCGGGACTTGTGGGGTCCTTCTCCTGTCACTGGTTATCACCCTTTACTGCGGAGACGTTCGCCGCCATTAATGGTCATAGCCAGGTTCTCCGCTACGCCATCGGGAATCTTCAAGAGAGTTACAGGGCATCATGGTGTCGAATTAATACCGAAAGCCCTGTACCGCTATATTGGCCA</t>
  </si>
  <si>
    <t>CAATCCGCCCTCACTACAACCGCGTCTCATAAGGGCGGCGGCGGCAGCGGCGGCGGCGGCAGCGGCGGCGGCGGCAGCGAAGCCGCGGCTAAAGAAGCCGCGGCTAAAGAAGCCGCGGCTAAAATCTACATCTGGGCGCCCTTGGCCGGGACTTGTGGGGTCCTTCTCCTGTCACTGGTTATCACCCTTTACTGCGGAGACGTTCGCCGCCATTAATGGTCATAGCCAGGTTCTCCGCTACGCCATCGGGAATCTTCAAGAGAGTTACAGGGCATCATGGTGTCGAATTAATACCGAAAGCCCTGTACCGCTATATTGGCCACTACTCTGGCGTCGATGAGGGA</t>
  </si>
  <si>
    <t>D2-IgG4-CH2-CD8TM</t>
  </si>
  <si>
    <t>C5</t>
  </si>
  <si>
    <t>CGTCTCATAAGGAGTCTAAGTACGGACCGCCTTGCCCACCGTGCCCAGCACCACCTGTGGCAGGACCGTCAGTCTTCCTCTTCCCACCAAAACCCAAGGACACCCTGATGATCAGCCGGACCCCCGAGGTGACCTGCGTGGTGGTGGACGTGAGCCAGGAAGATCCCGAGGTCCAGTTCAATTGGTACGTGGACGGCGTGGAAGTGCACAACGCCAAGACCAAGCCCAGAGAGGAACAGTTCCAAAGCACCTACCGGGTGGTGTCTGTGCTGACCGTGCTGCACCAGGACTGGCTGAACGGCAAAGAATACAAGTGCAAGGTGTCCAACAAGGGCCTGCCCAGCAGCATCGAAAAGACCATCAGCAAGGCCAAGATCTACATCTGGGCGCCCTTGGCCGGGACTTGTGGGGTCCTTCTCCTGTCACTGGTTATCACCCTTTACTGCGGAGACG</t>
  </si>
  <si>
    <t>CAATCCGCCCTCACTACAACCGCGTCTCATAAGGAGTCTAAGTACGGACCGCCTTGCCCACCGTGCCCAGCACCACCTGTGGCAGGACCGTCAGTCTTCCTCTTCCCACCAAAACCCAAGGACACCCTGATGATCAGCCGGACCCCCGAGGTGACCTGCGTGGTGGTGGACGTGAGCCAGGAAGATCCCGAGGTCCAGTTCAATTGGTACGTGGACGGCGTGGAAGTGCACAACGCCAAGACCAAGCCCAGAGAGGAACAGTTCCAAAGCACCTACCGGGTGGTGTCTGTGCTGACCGTGCTGCACCAGGACTGGCTGAACGGCAAAGAATACAAGTGCAAGGTGTCCAACAAGGGCCTGCCCAGCAGCATCGAAAAGACCATCAGCAAGGCCAAGATCTACATCTGGGCGCCCTTGGCCGGGACTTGTGGGGTCCTTCTCCTGTCACTGGTTATCACCCTTTACTGCGGAGACGCTACTCTGGCGTCGATGAGGGA</t>
  </si>
  <si>
    <t>D2-CD2h-CD8TM</t>
  </si>
  <si>
    <t>D5</t>
  </si>
  <si>
    <t>CGTCTCATAAGAAAGGTCTGGACATCTACATCTGGGCGCCCTTGGCCGGGACTTGTGGGGTCCTTCTCCTGTCACTGGTTATCACCCTTTACTGCGGAGACGTGTGCGAAACCGGCATCGCTTAGATCTCTCATTGACTCAATCAAGATTCTCGGAATGACGCTCTTTGTGGAAACCATGACAGGACGCCTACTAGACCATATTATGCTTTGTCGACGGACCAGACCTCAAGGCATCGCACATGCTAGGAACGTTACCACTTCCAGATGCTCAGTACCCTGACCTGTAATTGCGCCGTCG</t>
  </si>
  <si>
    <t>CAATCCGCCCTCACTACAACCGCGTCTCATAAGAAAGGTCTGGACATCTACATCTGGGCGCCCTTGGCCGGGACTTGTGGGGTCCTTCTCCTGTCACTGGTTATCACCCTTTACTGCGGAGACGTGTGCGAAACCGGCATCGCTTAGATCTCTCATTGACTCAATCAAGATTCTCGGAATGACGCTCTTTGTGGAAACCATGACAGGACGCCTACTAGACCATATTATGCTTTGTCGACGGACCAGACCTCAAGGCATCGCACATGCTAGGAACGTTACCACTTCCAGATGCTCAGTACCCTGACCTGTAATTGCGCCGTCGCTACTCTGGCGTCGATGAGGGA</t>
  </si>
  <si>
    <t>D2-D3-CD40h-CD40TM-CD40sig</t>
  </si>
  <si>
    <t>E5</t>
  </si>
  <si>
    <t>CGTCTCATAAGGGCCCCCAGGACAGGCTGAGGGCCCTGGTGGTGATCCCCATCATCTTCGGCATCCTGTTCGCCATCCTGCTGGTGCTGGTGTTCATCAAGAAGGTGGCCAAGAAGCCCACCAACAAGGCCCCCCACCCCAAGCAGGAGCCCCAGGAGATCAACTTCCCCGACGACCTGCCCGGCAGCAACACCGCCGCCCCCGTGCAGGAGACCCTGCACGGCTGCCAGCCCGTGACCCAGGAGGACGGCAAGGAGAGCAGGATCAGCGTGCAGGAGAGACAGGGATCCGGAGACGCTC</t>
  </si>
  <si>
    <t>CAATCCGCCCTCACTACAACCGCGTCTCATAAGGGCCCCCAGGACAGGCTGAGGGCCCTGGTGGTGATCCCCATCATCTTCGGCATCCTGTTCGCCATCCTGCTGGTGCTGGTGTTCATCAAGAAGGTGGCCAAGAAGCCCACCAACAAGGCCCCCCACCCCAAGCAGGAGCCCCAGGAGATCAACTTCCCCGACGACCTGCCCGGCAGCAACACCGCCGCCCCCGTGCAGGAGACCCTGCACGGCTGCCAGCCCGTGACCCAGGAGGACGGCAAGGAGAGCAGGATCAGCGTGCAGGAGAGACAGGGATCCGGAGACGCTCCTACTCTGGCGTCGATGAGGGA</t>
  </si>
  <si>
    <t>D2-D3-CD8h_CD28TM_sig</t>
  </si>
  <si>
    <t>CGTCTCATAAGACCACGACGCCAGCGCCGCGACCACCAACACCGGCGCCCACCATCGCGTCGCAGCCCCTGTCCCTGCGCCCAGAGGCGTGCCGGCCAGCGGCGGGGGGCGCAGTGCACACGAGGGGGCTGGACTTCGCCTGTGATTTTTGGGCACTGGTCGTGGTTGCTGGAGTCCTGTTTTGTTATGGCTTGCTAGTGACAGTGGCTCTTTGTGTTATCTGGACAAATAGTAGAAGGAACAGACTCCTTCAAAGTGACTACATGAACATGACTCCCCGGAGGCCTGGGCTCACTCGAAAGCCTTACCAGCCCTACGCCCCTGCCAGAGACTTTGCAGCGTACCGCCCCGGATCCGGAGACG</t>
  </si>
  <si>
    <t>CAATCCGCCCTCACTACAACCGCGTCTCATAAGACCACGACGCCAGCGCCGCGACCACCAACACCGGCGCCCACCATCGCGTCGCAGCCCCTGTCCCTGCGCCCAGAGGCGTGCCGGCCAGCGGCGGGGGGCGCAGTGCACACGAGGGGGCTGGACTTCGCCTGTGATTTTTGGGCACTGGTCGTGGTTGCTGGAGTCCTGTTTTGTTATGGCTTGCTAGTGACAGTGGCTCTTTGTGTTATCTGGACAAATAGTAGAAGGAACAGACTCCTTCAAAGTGACTACATGAACATGACTCCCCGGAGGCCTGGGCTCACTCGAAAGCCTTACCAGCCCTACGCCCCTGCCAGAGACTTTGCAGCGTACCGCCCCGGATCCGGAGACGCTACTCTGGCGTCGATGAGGGA</t>
  </si>
  <si>
    <t>D4-P2A(clean)</t>
  </si>
  <si>
    <t>G5</t>
  </si>
  <si>
    <t>CGTCTCAATCCGGAGCTACTAACTTCAGCCTGCTGAAGCAGGCTGGAGATGTGGAGGAGAACCCTGGACCTGGAGACGGGAGGCGCATTGAGACAGTACATGCTGTGATTTGTGAACCATGTCCTGAGGATCCACGCTCCAGTGCGAAAGATGCTGACTAGAAGGGATCACACCGCAGTGGCAACAGAATTAGGCAACCTCCACTGCGGTACTCCGTAAACCAGGTCAAATAGAGAGTCCCGCACTGGAGAACCTAAGATTCAACCGTGTGTTAATAGGGAGAACCCTGTTTAGAATCAG</t>
  </si>
  <si>
    <t>CAATCCGCCCTCACTACAACCGCGTCTCAATCCGGAGCTACTAACTTCAGCCTGCTGAAGCAGGCTGGAGATGTGGAGGAGAACCCTGGACCTGGAGACGGGAGGCGCATTGAGACAGTACATGCTGTGATTTGTGAACCATGTCCTGAGGATCCACGCTCCAGTGCGAAAGATGCTGACTAGAAGGGATCACACCGCAGTGGCAACAGAATTAGGCAACCTCCACTGCGGTACTCCGTAAACCAGGTCAAATAGAGAGTCCCGCACTGGAGAACCTAAGATTCAACCGTGTGTTAATAGGGAGAACCCTGTTTAGAATCAGCTACTCTGGCGTCGATGAGGGA</t>
  </si>
  <si>
    <t>D5-P2A(clean)</t>
  </si>
  <si>
    <t>H5</t>
  </si>
  <si>
    <t>CGTCTCAAAGTGGAGCTACTAACTTCAGCCTGCTGAAGCAGGCTGGAGATGTGGAGGAGAACCCTGGACCTGGAGACGTGAGATAAAGTCAAGGTCCGCTCTATTGCTGATTCCCTCTAACTCACGCCACAACCCACTGCATCCTCTGCGAGTGGCAAGTTGGACTCGCCCTAATCATGGGCTTCTCGATTATCTTGCCACCTTCAGTAAACTGTCACTCAAGCTGGCCATCGCGTTGAGTAGTCAGCGCTTGATAACGTGCTACAAACAATGCGGAATGGCCTTTAAACCCATACGCGT</t>
  </si>
  <si>
    <t>CAATCCGCCCTCACTACAACCGCGTCTCAAAGTGGAGCTACTAACTTCAGCCTGCTGAAGCAGGCTGGAGATGTGGAGGAGAACCCTGGACCTGGAGACGTGAGATAAAGTCAAGGTCCGCTCTATTGCTGATTCCCTCTAACTCACGCCACAACCCACTGCATCCTCTGCGAGTGGCAAGTTGGACTCGCCCTAATCATGGGCTTCTCGATTATCTTGCCACCTTCAGTAAACTGTCACTCAAGCTGGCCATCGCGTTGAGTAGTCAGCGCTTGATAACGTGCTACAAACAATGCGGAATGGCCTTTAAACCCATACGCGTCTACTCTGGCGTCGATGAGGGA</t>
  </si>
  <si>
    <t>D6-mScarlet</t>
  </si>
  <si>
    <t>A6</t>
  </si>
  <si>
    <t>CGTCTCAACCTATGGACAGCACCGAGGCCGTGATCAAGGAGTTCATGAGATTCAAGGTGCACATGGAGGGCAGCATGAACGGCCACGAGTTCGAGATCGAAGGAGAGGGCGAGGGCCGCCCCTACGAAGGAACACAGACCGCCAAACTTAGAGTGACCAAGGGAGGCCCCCTGCCCTTCTCCTGGGACATCCTGAGCCCTCAGTTCATGTACGGCAGCAGAGCCTTCACCAAGCACCCCGCCGACATCCCCGACTACTGGAAGCAGAGCTTCCCCGAGGGCTTCAAGTGGGAGAGAGTGATGAACTTTGAGGATGGCGGCGCCGTGTCTGTGGCCCAAGACACAAGCCTGGAGGACGGCACCCTGATCTACAAGGTGAAGCTGAGAGGCACCAACTTCCCTCCCGACGGCCCCGTGATGCAGAAGAAGACCATGGGCTGGGAGGCCAGCACCGAAAGACTGTACCCCGAGGACGTGGTGCTGAAGGGCGACATCAAGATGGCTCTGAGACTGAAGGACGGCGGCAGATACCTGGCCGACTTCAAGACCACCTACAGAGCCAAGAAGCCCGTGCAGATGCCCGGCGCCTTCAACATCGACAGAAAGCTGGACATCACCTCCCACAACGAGGACTACACCGTGGTGGAGCAGTACGAAAGAAGCGTGGCCAGACACAGCACCGGCGGCAGTGGAGACG</t>
  </si>
  <si>
    <t>CAATCCGCCCTCACTACAACCGCGTCTCAACCTATGGACAGCACCGAGGCCGTGATCAAGGAGTTCATGAGATTCAAGGTGCACATGGAGGGCAGCATGAACGGCCACGAGTTCGAGATCGAAGGAGAGGGCGAGGGCCGCCCCTACGAAGGAACACAGACCGCCAAACTTAGAGTGACCAAGGGAGGCCCCCTGCCCTTCTCCTGGGACATCCTGAGCCCTCAGTTCATGTACGGCAGCAGAGCCTTCACCAAGCACCCCGCCGACATCCCCGACTACTGGAAGCAGAGCTTCCCCGAGGGCTTCAAGTGGGAGAGAGTGATGAACTTTGAGGATGGCGGCGCCGTGTCTGTGGCCCAAGACACAAGCCTGGAGGACGGCACCCTGATCTACAAGGTGAAGCTGAGAGGCACCAACTTCCCTCCCGACGGCCCCGTGATGCAGAAGAAGACCATGGGCTGGGAGGCCAGCACCGAAAGACTGTACCCCGAGGACGTGGTGCTGAAGGGCGACATCAAGATGGCTCTGAGACTGAAGGACGGCGGCAGATACCTGGCCGACTTCAAGACCACCTACAGAGCCAAGAAGCCCGTGCAGATGCCCGGCGCCTTCAACATCGACAGAAAGCTGGACATCACCTCCCACAACGAGGACTACACCGTGGTGGAGCAGTACGAAAGAAGCGTGGCCAGACACAGCACCGGCGGCAGTGGAGACGCTACTCTGGCGTCGATGAGGGA</t>
  </si>
  <si>
    <t>D6A-dom1-VPR-G4S</t>
  </si>
  <si>
    <t>B6</t>
  </si>
  <si>
    <t>CGTCTCAACCTGACGCATTGGACGATTTTGATCTGGATATGCTGGGAAGTGACGCCCTCGATGATTTTGACCTTGACATGCTTGGTTCGGATGCCCTTGATGACTTTGACCTCGACATGCTCGGCAGTGACGCCCTTGATGATTTCGACCTGGACATGCTGATTAACTCTAGAAGTTCCGGATCTCCGAAAAAGAAACGCAAAGTTGGTAGCCAGTACCTGCCCGACACCGACGACCGGCACCGGATCGAGGAAAAGCGGAAGCGGACCTACGAGACATTCAAGAGCATCATGAAGAAGTCCCCCTTCAGCGGCCCCACCGACCCTAGACCTCCACCTAGAAGAATCGCCGTGCCCAGCAGATCCAGCGCCAGCGTGCCAAAACCTGCCCCCCAGCCTTACCCCTTCACCAGCAGCCTGAGCACCATCAACTACGACGAGTTCCCTACCATGGTGTTCCCCAGCGGCCAGATCTCTCAGGCCTCTGCTCTGGCTCCAGCCCCTCCTCAGGTGCTGCCTCAGGCTCCTGCTCCTGCACCAGCTCCAGCCATGGTGTCTGCACTGGCTCAGGCACCAGCACCCGTGCCTGTGCTGGCTCCTGGACCTCCACAGGCTGTGGCTCCACCAGCCCCTAAACCTACACAGGCCGGCGAGGGCACACTGTCTGAAGCTCTGCTGCAGCTGCAGTTCGACGACGAGGATCTGGGAGCCCTGCTGGGAAACAGCACCGATCCTGCCGTGTTCACCGACCTGGCCAGCGTGGACAACAGCGAGTTCCAGCAGCTGCTGAACCAGGGCATCCCTGTGGCCCCTCACACCACCGAGCCCATGCTGATGGAATACCCCGAGGCCATCACCCGGCTCGTGACAGGCGCTCAGAGGCCTCCTGATCCAGCTCCTGCCCCTCTGGGAGCACCAGGCCTGCCTAATGGACTGCTGTCTGGCGACGAGGACTTCAGCTCTATCGCCGATATGGATTTCTCAGCCTTGCTGGGCTCTGGCAGCGGCAGC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A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GGAGGAGGCGGATCCGGAGGCGGTGGATCTGGAGGCGGTGGATCCGGAGGCGGTGGCTCTGGAGACG</t>
  </si>
  <si>
    <t>CAATCCGCCCTCACTACAACCGCGTCTCAACCTGACGCATTGGACGATTTTGATCTGGATATGCTGGGAAGTGACGCCCTCGATGATTTTGACCTTGACATGCTTGGTTCGGATGCCCTTGATGACTTTGACCTCGACATGCTCGGCAGTGACGCCCTTGATGATTTCGACCTGGACATGCTGATTAACTCTAGAAGTTCCGGATCTCCGAAAAAGAAACGCAAAGTTGGTAGCCAGTACCTGCCCGACACCGACGACCGGCACCGGATCGAGGAAAAGCGGAAGCGGACCTACGAGACATTCAAGAGCATCATGAAGAAGTCCCCCTTCAGCGGCCCCACCGACCCTAGACCTCCACCTAGAAGAATCGCCGTGCCCAGCAGATCCAGCGCCAGCGTGCCAAAACCTGCCCCCCAGCCTTACCCCTTCACCAGCAGCCTGAGCACCATCAACTACGACGAGTTCCCTACCATGGTGTTCCCCAGCGGCCAGATCTCTCAGGCCTCTGCTCTGGCTCCAGCCCCTCCTCAGGTGCTGCCTCAGGCTCCTGCTCCTGCACCAGCTCCAGCCATGGTGTCTGCACTGGCTCAGGCACCAGCACCCGTGCCTGTGCTGGCTCCTGGACCTCCACAGGCTGTGGCTCCACCAGCCCCTAAACCTACACAGGCCGGCGAGGGCACACTGTCTGAAGCTCTGCTGCAGCTGCAGTTCGACGACGAGGATCTGGGAGCCCTGCTGGGAAACAGCACCGATCCTGCCGTGTTCACCGACCTGGCCAGCGTGGACAACAGCGAGTTCCAGCAGCTGCTGAACCAGGGCATCCCTGTGGCCCCTCACACCACCGAGCCCATGCTGATGGAATACCCCGAGGCCATCACCCGGCTCGTGACAGGCGCTCAGAGGCCTCCTGATCCAGCTCCTGCCCCTCTGGGAGCACCAGGCCTGCCTAATGGACTGCTGTCTGGCGACGAGGACTTCAGCTCTATCGCCGATATGGATTTCTCAGCCTTGCTGGGCTCTGGCAGCGGCAGC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A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GGAGGAGGCGGATCCGGAGGCGGTGGATCTGGAGGCGGTGGATCCGGAGGCGGTGGCTCTGGAGACGCTACTCTGGCGTCGATGAGGGA</t>
  </si>
  <si>
    <t>D6A-dom1-VP64-G4S</t>
  </si>
  <si>
    <t>C6</t>
  </si>
  <si>
    <t>CGTCTCAACCTGACGCATTGGACGATTTTGATCTGGATATGCTGGGAAGTGACGCCCTCGATGATTTTGACCTTGACATGCTTGGTTCGGATGCCCTTGATGACTTTGACCTCGACATGCTCGGCAGTGACGCCCTTGATGATTTCGACCTGGACATGCTGATTAACTCTAGAAGTTCCGGATCTCCGAAAAAGAAACGCAAAGTTGGAGGAGGCGGATCCGGAGGCGGTGGATCTGGAGGCGGTGGATCCGGAGGCGGTGGCTCTGGAGACGAAGGCATCGCGACAACGATAGACCGAA</t>
  </si>
  <si>
    <t>CAATCCGCCCTCACTACAACCGCGTCTCAACCTGACGCATTGGACGATTTTGATCTGGATATGCTGGGAAGTGACGCCCTCGATGATTTTGACCTTGACATGCTTGGTTCGGATGCCCTTGATGACTTTGACCTCGACATGCTCGGCAGTGACGCCCTTGATGATTTCGACCTGGACATGCTGATTAACTCTAGAAGTTCCGGATCTCCGAAAAAGAAACGCAAAGTTGGAGGAGGCGGATCCGGAGGCGGTGGATCTGGAGGCGGTGGATCCGGAGGCGGTGGCTCTGGAGACGAAGGCATCGCGACAACGATAGACCGAACTACTCTGGCGTCGATGAGGGA</t>
  </si>
  <si>
    <t>D6A-dom1-eN3x9-G4S</t>
  </si>
  <si>
    <t>D6</t>
  </si>
  <si>
    <t>CGTCTCAACCTGCTTCAAACTTTACTCAGTTCGTGCTCGTGGACAATGGTGGGACAGGGGATGTGACAGTGGCTCCTTCTAATTTCGCTAATGGGGTGGCAGAGTGGATCAGCTCCAACTCACGGAGCCAGGCCTACAAGGTGACATGCAGCGTCAGGCAGTCTAGTGCCCAGAAGAGAAAGTATACCATCAAGGTGGAGGTCCCCAAAGTGGCTACCCAGACAGTGGGCGGAGTCGAACTGCCTGTCGCCGCTTGGAGGTCCTACCTGAACATGGAGCTCACTATCCCAATTTTCGCTACCAATTCTGACTGTGAACTCATCGTGAAGGCAATGCAGGGGCTCCTCAAAGACGGTAATCCTATCCCTTCCGCCATCGCCGCTAACTCAGGTATCTACAGCGCTGGAGGAGGTGGAAGCGGAGGAGGAGGAAGCGGAGGAGGAGGTAGCGGACCTAAGAAAAAGAGGAAGGTGGCGGCCGCTGGATCCTCAGATGCTTTGTACTTTGATGACTGCATGCAGCTTTTGGCGCAGACATTCCCGTTTGTAGATGACAATGAGTCGGGAGGTGGTTCGGGTGGCTCTGGATCAAGCCAGGACATTGAGCAAGTTTGGGAGGAGCTATTATCCATTCCTGAGTTACAGTGTCTTAATATTGAAAATGACAAGCTGGTTGAGTCGGGAAGCATGTTCTCTGCTGACTTTCTAGACTCGGGAGATGAACTCCTGGACGTGCTTATTGAATCGGGAAGCATCTTCAACATCGATTTCCTGGATGCTAGCGGCAGTGGAGGAGGAGGCGGATCCGGAGGCGGTGGATCTGGAGGCGGTGGATCCGGAGGCGGTGGCTCTGGAGACG</t>
  </si>
  <si>
    <t>CAATCCGCCCTCACTACAACCGCGTCTCAACCTGCTTCAAACTTTACTCAGTTCGTGCTCGTGGACAATGGTGGGACAGGGGATGTGACAGTGGCTCCTTCTAATTTCGCTAATGGGGTGGCAGAGTGGATCAGCTCCAACTCACGGAGCCAGGCCTACAAGGTGACATGCAGCGTCAGGCAGTCTAGTGCCCAGAAGAGAAAGTATACCATCAAGGTGGAGGTCCCCAAAGTGGCTACCCAGACAGTGGGCGGAGTCGAACTGCCTGTCGCCGCTTGGAGGTCCTACCTGAACATGGAGCTCACTATCCCAATTTTCGCTACCAATTCTGACTGTGAACTCATCGTGAAGGCAATGCAGGGGCTCCTCAAAGACGGTAATCCTATCCCTTCCGCCATCGCCGCTAACTCAGGTATCTACAGCGCTGGAGGAGGTGGAAGCGGAGGAGGAGGAAGCGGAGGAGGAGGTAGCGGACCTAAGAAAAAGAGGAAGGTGGCGGCCGCTGGATCCTCAGATGCTTTGTACTTTGATGACTGCATGCAGCTTTTGGCGCAGACATTCCCGTTTGTAGATGACAATGAGTCGGGAGGTGGTTCGGGTGGCTCTGGATCAAGCCAGGACATTGAGCAAGTTTGGGAGGAGCTATTATCCATTCCTGAGTTACAGTGTCTTAATATTGAAAATGACAAGCTGGTTGAGTCGGGAAGCATGTTCTCTGCTGACTTTCTAGACTCGGGAGATGAACTCCTGGACGTGCTTATTGAATCGGGAAGCATCTTCAACATCGATTTCCTGGATGCTAGCGGCAGTGGAGGAGGAGGCGGATCCGGAGGCGGTGGATCTGGAGGCGGTGGATCCGGAGGCGGTGGCTCTGGAGACGCTACTCTGGCGTCGATGAGGGA</t>
  </si>
  <si>
    <t>D6A-dom1-mCherry-G4S</t>
  </si>
  <si>
    <t>E6</t>
  </si>
  <si>
    <t>CGTCTCAACCT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GATGGGCTGGGAGGCCTCCTCCGAGCGGATGTACCCCGAGGACGGCGCCCTGAAGGGCGAGATCAAGCAGAGGCTGAAGCTGAAGGACGGCGGCCACTACGACGCTGAGGTCAAGACCACCTACAAGGCCAAGAAGCCCGTGCAGCTGCCCGGCGCCTACAACGTCAACATCAAGTTGGACATCACCTCCCACAACGAGGACTACACCATCGTGGAACAGTACGAACGCGCCGAGGGCCGCCACTCCACCGGCGGCATGGACGAGCTGTACAAGGGAGGAGGCGGATCCGGAGGCGGTGGATCTGGAGGCGGTGGATCCGGAGGCGGTGGCTCTGGAGACG</t>
  </si>
  <si>
    <t>CAATCCGCCCTCACTACAACCGCGTCTCAACCT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GATGGGCTGGGAGGCCTCCTCCGAGCGGATGTACCCCGAGGACGGCGCCCTGAAGGGCGAGATCAAGCAGAGGCTGAAGCTGAAGGACGGCGGCCACTACGACGCTGAGGTCAAGACCACCTACAAGGCCAAGAAGCCCGTGCAGCTGCCCGGCGCCTACAACGTCAACATCAAGTTGGACATCACCTCCCACAACGAGGACTACACCATCGTGGAACAGTACGAACGCGCCGAGGGCCGCCACTCCACCGGCGGCATGGACGAGCTGTACAAGGGAGGAGGCGGATCCGGAGGCGGTGGATCTGGAGGCGGTGGATCCGGAGGCGGTGGCTCTGGAGACGCTACTCTGGCGTCGATGAGGGA</t>
  </si>
  <si>
    <t>D7B-ZBTB32-WT-stop</t>
  </si>
  <si>
    <t>F6</t>
  </si>
  <si>
    <t>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GACCCACTACCGAGTCCACACAGGAGAGAAGCCCTTCTCCTGTAGCCTTTGTCCTCAGCGCTCCCGGGACTTCTCGGCCATGACCAAGCACCTGCGGACACACGGGGCCGCTCCGTACCGCTGCTCCCTGTGCGGGGCCGGCTGTCCCAGCCTGGCCTCCATGCAGGCGCACATGCGCGGTCACTCGCCCAGCCAACTCCCGCCCGGATGGACCATCCGCTCCACCTTCCTCTACTCCTCCTCGAGGCCCTCTCGGCCCTCGACCTCTCCCTGTTGTCCTTCTTCCTCCACCACCTGACTCGGGAGACG</t>
  </si>
  <si>
    <t>CAATCCGCCCTCACTACAACCG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GACCCACTACCGAGTCCACACAGGAGAGAAGCCCTTCTCCTGTAGCCTTTGTCCTCAGCGCTCCCGGGACTTCTCGGCCATGACCAAGCACCTGCGGACACACGGGGCCGCTCCGTACCGCTGCTCCCTGTGCGGGGCCGGCTGTCCCAGCCTGGCCTCCATGCAGGCGCACATGCGCGGTCACTCGCCCAGCCAACTCCCGCCCGGATGGACCATCCGCTCCACCTTCCTCTACTCCTCCTCGAGGCCCTCTCGGCCCTCGACCTCTCCCTGTTGTCCTTCTTCCTCCACCACCTGACTCGGGAGACGCTACTCTGGCGTCGATGAGGGA</t>
  </si>
  <si>
    <t>D7B-mCherry-stop</t>
  </si>
  <si>
    <t>G6</t>
  </si>
  <si>
    <t>CGTCTCACTCT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GATGGGCTGGGAGGCCTCCTCCGAGCGGATGTACCCCGAGGACGGCGCCCTGAAGGGCGAGATCAAGCAGAGGCTGAAGCTGAAGGACGGCGGCCACTACGACGCTGAGGTCAAGACCACCTACAAGGCCAAGAAGCCCGTGCAGCTGCCCGGCGCCTACAACGTCAACATCAAGTTGGACATCACCTCCCACAACGAGGACTACACCATCGTGGAACAGTACGAACGCGCCGAGGGCCGCCACTCCACCGGCGGCATGGACGAGCTGTACAAGTAACTCGGGAGACG</t>
  </si>
  <si>
    <t>CAATCCGCCCTCACTACAACCGCGTCTCACTCT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GATGGGCTGGGAGGCCTCCTCCGAGCGGATGTACCCCGAGGACGGCGCCCTGAAGGGCGAGATCAAGCAGAGGCTGAAGCTGAAGGACGGCGGCCACTACGACGCTGAGGTCAAGACCACCTACAAGGCCAAGAAGCCCGTGCAGCTGCCCGGCGCCTACAACGTCAACATCAAGTTGGACATCACCTCCCACAACGAGGACTACACCATCGTGGAACAGTACGAACGCGCCGAGGGCCGCCACTCCACCGGCGGCATGGACGAGCTGTACAAGTAACTCGGGAGACGCTACTCTGGCGTCGATGAGGGA</t>
  </si>
  <si>
    <t>D7B-ZBT-bindingnull</t>
  </si>
  <si>
    <t>H6</t>
  </si>
  <si>
    <t>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GCGGCAATGGAGGCGCACTACCGAGTCCACACAGGAGAGAAGCCCTTCTCCTGTAGCCTTTGTCCTCAGCGCTCCCGGGCCTTCTCGGCCATGACCGCGCACCTGCGGACACACGGGGCCGCTCCGTACCGCTGCTCCCTGTGCGGGGCCGGCTGTCCCGCCCTGGCCGCCATGCAGGCGCACATGCGCGGTCACTCGCCCAGCCAACTCCCGCCCGGATGGACCATCCGCTCCACCTTCCTCTACTCCTCCTCGAGGCCGTCGCGGCCCTCGACCTCTCCCTGTTGTCCTTCTTCCTCCACCACCTGACTCGGGAGACG</t>
  </si>
  <si>
    <t>CAATCCGCCCTCACTACAACCG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GCGGCAATGGAGGCGCACTACCGAGTCCACACAGGAGAGAAGCCCTTCTCCTGTAGCCTTTGTCCTCAGCGCTCCCGGGCCTTCTCGGCCATGACCGCGCACCTGCGGACACACGGGGCCGCTCCGTACCGCTGCTCCCTGTGCGGGGCCGGCTGTCCCGCCCTGGCCGCCATGCAGGCGCACATGCGCGGTCACTCGCCCAGCCAACTCCCGCCCGGATGGACCATCCGCTCCACCTTCCTCTACTCCTCCTCGAGGCCGTCGCGGCCCTCGACCTCTCCCTGTTGTCCTTCTTCCTCCACCACCTGACTCGGGAGACGCTACTCTGGCGTCGATGAGGGA</t>
  </si>
  <si>
    <t>D7B-ZBT-ZF1</t>
  </si>
  <si>
    <t>A7</t>
  </si>
  <si>
    <t>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AGCTCTGTCA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CTCTCGGCCCTCGACCTCTCCCTGTTGTCCTTCTTCCTCCACCACCTGACTCGGGAGACG</t>
  </si>
  <si>
    <t>CAATCCGCCCTCACTACAACCG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AGCTCTGTCAGTGGAAAGAGGTTTTCACTCAAGCATCAGATGGAAACGCACTACCGAGTCCACACAGGAGAGAAGCCCTTCTCCTGTAGCCTTTGTCCTCAGCGCTCCCGGGACTTCTCGGCCATGACCAAGCACCTGCGGACACACGGGGCCGCTCCGTACCGCTGCTCCCTGTGCGGGGCCGGCTGTCCCAGCCTGGCCTCCATGCAGGCGCACATGCGCGGTCACTCGCCCAGCCAACTCCCGCCCGGATGGACCATCCGCTCCACCTTCCTCTACTCCTCCTCGAGGCCCTCTCGGCCCTCGACCTCTCCCTGTTGTCCTTCTTCCTCCACCACCTGACTCGGGAGACGCTACTCTGGCGTCGATGAGGGA</t>
  </si>
  <si>
    <t>D7B-ZBT-ZF2</t>
  </si>
  <si>
    <t>B7</t>
  </si>
  <si>
    <t>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AGTAGCCTTAGTCCTCAGCGCTCCCGGGACTTCTCGGCCATGACCAAGCACCTGCGGACACACGGGGCCGCTCCGTACCGCTGCTCCCTGTGCGGGGCCGGCTGTCCCAGCCTGGCCTCCATGCAGGCGCACATGCGCGGTCACTCGCCCAGCCAACTCCCGCCCGGATGGACCATCCGCTCCACCTTCCTCTACTCCTCCTCGAGGCCCTCTCGGCCCTCGACCTCTCCCTGTTGTCCTTCTTCCTCCACCACCTGACTCGGGAGACG</t>
  </si>
  <si>
    <t>CAATCCGCCCTCACTACAACCG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AGTAGCCTTAGTCCTCAGCGCTCCCGGGACTTCTCGGCCATGACCAAGCACCTGCGGACACACGGGGCCGCTCCGTACCGCTGCTCCCTGTGCGGGGCCGGCTGTCCCAGCCTGGCCTCCATGCAGGCGCACATGCGCGGTCACTCGCCCAGCCAACTCCCGCCCGGATGGACCATCCGCTCCACCTTCCTCTACTCCTCCTCGAGGCCCTCTCGGCCCTCGACCTCTCCCTGTTGTCCTTCTTCCTCCACCACCTGACTCGGGAGACGCTACTCTGGCGTCGATGAGGGA</t>
  </si>
  <si>
    <t>D7B-ZBT-ZF3</t>
  </si>
  <si>
    <t>C7</t>
  </si>
  <si>
    <t>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AGCTCCCTGAGCGGGGCCGGCTGTCCCAGCCTGGCCTCCATGCAGGCGCACATGCGCGGTCACTCGCCCAGCCAACTCCCGCCCGGATGGACCATCCGCTCCACCTTCCTCTACTCCTCCTCGAGGCCCTCTCGGCCCTCGACCTCTCCCTGTTGTCCTTCTTCCTCCACCACCTGACTCGGGAGACG</t>
  </si>
  <si>
    <t>CAATCCGCCCTCACTACAACCGCGTCTCACTCTATGTCCCTGCCCCCCATAAGACTGCCCAGCCCCTATGGCTCTGATCGGCTGGTACAGCTAGCAGCCAGGCTCCGGCCAGCACTCTGTGATACTCTGATCACCGTAGGGAGCCAGGAGTTCCCCGCCCACAGCCTGGTGCTAGCAGGTGTCAGCCAGCAGCTGGGCCGCAGGGGCCAGTGGGCTCTGGGAGAAGGCATCAGCCCTTCTACCTTTGCCCAGCTCCTGAACTTTGTGTATGGGGAGAGTGTAGAGCTGCAGCCTGGAGAGCTAAGGCCCCTTCAGGAGGCGGCCAGGGCCTTGGGAGTGCAGTCCCTGGAAGAGGCATGCTGGAGGGCTCGAGGGGACAGGGCTAAAAAGCCAGATCCAGGCCTGAAGAAACATCAGGAGGAGCCAGAGAAACCCTCAAGGAATCCTGAGAGAGAACTGGGGGACCCTGGAGAGAAGCAGAAACCAGAACAGGTTTCTAGAACTGGTGGGAGAGAACAGGAGATGTTGCACAAGCACTCGCCACCAAGAGGCAGACCCGAGATGGCAGGAGCAACGCAGGAGGCTCAGCAGGAACAGACCAGGTCAAAGGAGAAACGCCTCCAAGCCCCTGTTGGCCAAAGGGGAGCAGATGGGAAGCATGGAGTGCTCACGTGGTTGAGGGAAAATCCAGGGGGCTCTGAGGAAAGTCTGCGCAAGCTCCCTGGCCCCCTTCCCCCAGCAGGCTCCCTGCAAACCAGCGTCACCCCTAGGCCCTCGTGGGCTGAGGCCCCTTGGTTGGTGGGGGGCCAGCCTGCCCTGTGGAGCATCCTGCTGATGCCGCCCAGATATGGCATTCCCTTCTACCATAGCACCCCCACCACTGGAGCCTGGCAGGAGGTCTGGCGGGAACAGAGGATCCCACTGTCCCTAAATGCCCCCAAAGGGCTCTGGAGCCAGAACCAGTTGGCCTCCTCCAGCCCTACCCCAGGTTCCCTCCCCCAGGGCCCCGCACAGCTCAGCCCTGGGGAGATGGAAGAGTCTGATCAGGGGCACACAGGCGCACTTGCAACCTGTGCGGGTCATGAGGACAAGGCAGGCTGCCCACCTCGCCCGCACCCTCCCCCGGCCCCTCCTGCTCGGTCTCGGCCCTATGCGTGCTCTGTCTGTGGAAAGAGGTTTTCACTCAAGCATCAGATGGAAACGCACTACCGAGTCCACACAGGAGAGAAGCCCTTCTCCTGTAGCCTTTGTCCTCAGCGCTCCCGGGACTTCTCGGCCATGACCAAGCACCTGCGGACACACGGGGCCGCTCCGTACCGCAGCTCCCTGAGCGGGGCCGGCTGTCCCAGCCTGGCCTCCATGCAGGCGCACATGCGCGGTCACTCGCCCAGCCAACTCCCGCCCGGATGGACCATCCGCTCCACCTTCCTCTACTCCTCCTCGAGGCCCTCTCGGCCCTCGACCTCTCCCTGTTGTCCTTCTTCCTCCACCACCTGACTCGGGAGACGCTACTCTGGCGTCGATGAGGGA</t>
  </si>
  <si>
    <t>D7B-HIC1-stop</t>
  </si>
  <si>
    <t>D7</t>
  </si>
  <si>
    <t>CGTCTCACTCTATGCTTGATACCATGGAAGCACCGGGTCATTCTAGACAACTTTTGTTACAGCTGAATAATCAACGAACAAAAGGATTTCTGTGCGATGTTATTATCGTCGTTCAAAATGCGTTATTTAGGGCCCATAAGAATGTCTTAGCTGCATCATCAGCATATCTGAAAAGTTTGGTTGTTCACGATAATCTTCTGAATCTTGATCACGATATGGTTTCCCCCGCAGTCTTTAGGCTCGTTCTCGATTTTATTTATACGGGTCGGCTTGCCGATGGAGCTGAAGCCGCAGCTGCTGCTGCTGTTGCACCCGGCGCCGAACCTTCTCTCGGTGCAGTCCTTGCTGCTGCATCCTATTTGCAAATACCAGATCTGGTCGCCCTCTGTAAGAAGCGTTTGAAACGGCATGGGAAATATTGTCATTTGAGAGGGGGGGGCGGTGGAGGAGGTGGGTATGCTCCCTACGGCAGGCCAGGAAGGGGCCTCAGGGCTGCAACTCCAGTAATACAGGCTTGTTATCCAAGCCCGGTGGGACCCCCTCCTCCCCCAGCTGCTGAACCCCCTTCTGGACCTGAAGCTGCAGTTAATACTCATTGTGCGGAATTGTATGCTTCCGGGCCGGGTCCAGCTGCTGCGCTTTGCGCTTCAGAAAGAAGGTGTTCTCCGCTGTGCGGGCTCGATCTCAGCAAGAAATCACCACCAGGGTCTGCCGCACCTGAACGCCCCTTAGCAGAAAGAGAACTCCCGCCACGGCCCGATTCTCCACCATCAGCTGGACCAGCTGCTTATAAAGAACCCCCACTGGCGCTTCCCTCTTTGCCACCATTGCCTTTTCAGAAACTCGAAGAAGCAGCCCCACCCTCAGATCCCTTCCGGGGTGGTTCCGGTTCTCCCGGCCCTGAACCGCCTGGTAGGCCTGATGGCCCATCACTGCTGTACAGGTGGATGAAACATGAACCTGGGTTAGGGAGTTACGGGGATGAATTAGGTCGCGAACGGGGTAGCCCATCCGAAAGATGTGAGGAACGGGGCGGTGATGCAGCTGTTAGTCCTGGTGGACCACCATTAGGTCTGGCCCCACCACCAAGATATCCGGGATCATTGGATGGCCCTGGAGCAGGTGGAGATGGTGATGATTATAAATCCTCTTCCGAAGAAACAGGGTCATCCGAAGATCCTTCCCCACCGGGTGGACATCTGGAAGGATATCCCTGTCCTCATCTCGCTTACGGGGAACCTGAAAGTTTTGGCGATAATCTCTATGTTTGTATACCATGTGGGAAAGGGTTTCCATCATCCGAACAACTCAATGCTCATGTTGAAGCACATGTAGAAGAAGAAGAGGCCTTATATGGACGCGCTGAAGCTGCTGAGGTTGCTGCAGGAGCAGCGGGTTTGGGACCGCCCTTTGGTGGTGGTGGCGATAAAGTGGCTGGAGCCCCCGGCGGACTCGGGGAACTCTTAAGACCTTATCGGTGTGCTTCTTGTGATAAAAGTTATAAAGATCCCGCGACCCTTAGGCAACATGAGAAAACCCATTGGCTCACTAGGCCATATCCGTGTACGATTTGTGGAAAGAAATTTACACAAAGAGGCACTATGACCCGTCATATGCGTTCCCATTTAGGACTTAAACCATTTGCCTGTGATGCATGTGGAATGCGCTTTACCAGACAATATCGTTTGACAGAACATATGCGAATACATTCCGGGGAGAAACCTTATGAATGTCAAGTATGTGGTGGGAAATTTGCTCAACAGCGTAATTTAATTTCCCATATGAAAATGCATGCAGTCGGCGGAGCTGCAGGGGCCGCTGGCGCTTTGGCTGGTCTTGGCGGCCTGCCAGGGGTTCCAGGACCTGATGGAAAAGGTAAACTTGATTTTCCGGAAGGAGTGTTCGCAGTCGCCAGGCTGACCGCGGAACAATTGTCCCTTAAACAACAAGATAAAGCCGCTGCTGCTGAACTCCTCGCCCAAACAACACATTTTCTCCATGATCCGAAAGTAGCCTTGGAATCTCTTTATCCCTTGGCTAAATTTACTGCAGAACTTGGTCTGTCCCCGGATAAAGCCGCGGAAGTCCTCTCCCAAGGAGCACATCTCGCAGCTGGTCCTGATGGACGAACAATTGATAGATTTAGTCCGACATAACTCGGGAGACG</t>
  </si>
  <si>
    <t>CAATCCGCCCTCACTACAACCGCGTCTCACTCTATGCTTGATACCATGGAAGCACCGGGTCATTCTAGACAACTTTTGTTACAGCTGAATAATCAACGAACAAAAGGATTTCTGTGCGATGTTATTATCGTCGTTCAAAATGCGTTATTTAGGGCCCATAAGAATGTCTTAGCTGCATCATCAGCATATCTGAAAAGTTTGGTTGTTCACGATAATCTTCTGAATCTTGATCACGATATGGTTTCCCCCGCAGTCTTTAGGCTCGTTCTCGATTTTATTTATACGGGTCGGCTTGCCGATGGAGCTGAAGCCGCAGCTGCTGCTGCTGTTGCACCCGGCGCCGAACCTTCTCTCGGTGCAGTCCTTGCTGCTGCATCCTATTTGCAAATACCAGATCTGGTCGCCCTCTGTAAGAAGCGTTTGAAACGGCATGGGAAATATTGTCATTTGAGAGGGGGGGGCGGTGGAGGAGGTGGGTATGCTCCCTACGGCAGGCCAGGAAGGGGCCTCAGGGCTGCAACTCCAGTAATACAGGCTTGTTATCCAAGCCCGGTGGGACCCCCTCCTCCCCCAGCTGCTGAACCCCCTTCTGGACCTGAAGCTGCAGTTAATACTCATTGTGCGGAATTGTATGCTTCCGGGCCGGGTCCAGCTGCTGCGCTTTGCGCTTCAGAAAGAAGGTGTTCTCCGCTGTGCGGGCTCGATCTCAGCAAGAAATCACCACCAGGGTCTGCCGCACCTGAACGCCCCTTAGCAGAAAGAGAACTCCCGCCACGGCCCGATTCTCCACCATCAGCTGGACCAGCTGCTTATAAAGAACCCCCACTGGCGCTTCCCTCTTTGCCACCATTGCCTTTTCAGAAACTCGAAGAAGCAGCCCCACCCTCAGATCCCTTCCGGGGTGGTTCCGGTTCTCCCGGCCCTGAACCGCCTGGTAGGCCTGATGGCCCATCACTGCTGTACAGGTGGATGAAACATGAACCTGGGTTAGGGAGTTACGGGGATGAATTAGGTCGCGAACGGGGTAGCCCATCCGAAAGATGTGAGGAACGGGGCGGTGATGCAGCTGTTAGTCCTGGTGGACCACCATTAGGTCTGGCCCCACCACCAAGATATCCGGGATCATTGGATGGCCCTGGAGCAGGTGGAGATGGTGATGATTATAAATCCTCTTCCGAAGAAACAGGGTCATCCGAAGATCCTTCCCCACCGGGTGGACATCTGGAAGGATATCCCTGTCCTCATCTCGCTTACGGGGAACCTGAAAGTTTTGGCGATAATCTCTATGTTTGTATACCATGTGGGAAAGGGTTTCCATCATCCGAACAACTCAATGCTCATGTTGAAGCACATGTAGAAGAAGAAGAGGCCTTATATGGACGCGCTGAAGCTGCTGAGGTTGCTGCAGGAGCAGCGGGTTTGGGACCGCCCTTTGGTGGTGGTGGCGATAAAGTGGCTGGAGCCCCCGGCGGACTCGGGGAACTCTTAAGACCTTATCGGTGTGCTTCTTGTGATAAAAGTTATAAAGATCCCGCGACCCTTAGGCAACATGAGAAAACCCATTGGCTCACTAGGCCATATCCGTGTACGATTTGTGGAAAGAAATTTACACAAAGAGGCACTATGACCCGTCATATGCGTTCCCATTTAGGACTTAAACCATTTGCCTGTGATGCATGTGGAATGCGCTTTACCAGACAATATCGTTTGACAGAACATATGCGAATACATTCCGGGGAGAAACCTTATGAATGTCAAGTATGTGGTGGGAAATTTGCTCAACAGCGTAATTTAATTTCCCATATGAAAATGCATGCAGTCGGCGGAGCTGCAGGGGCCGCTGGCGCTTTGGCTGGTCTTGGCGGCCTGCCAGGGGTTCCAGGACCTGATGGAAAAGGTAAACTTGATTTTCCGGAAGGAGTGTTCGCAGTCGCCAGGCTGACCGCGGAACAATTGTCCCTTAAACAACAAGATAAAGCCGCTGCTGCTGAACTCCTCGCCCAAACAACACATTTTCTCCATGATCCGAAAGTAGCCTTGGAATCTCTTTATCCCTTGGCTAAATTTACTGCAGAACTTGGTCTGTCCCCGGATAAAGCCGCGGAAGTCCTCTCCCAAGGAGCACATCTCGCAGCTGGTCCTGATGGACGAACAATTGATAGATTTAGTCCGACATAACTCGGGAGACGCTACTCTGGCGTCGATGAGGGA</t>
  </si>
  <si>
    <t>D7B-BCL6-stop</t>
  </si>
  <si>
    <t>E7</t>
  </si>
  <si>
    <t>CGTCTCACTCTATGGCCTCGCCGGCTGACAGCTGTATCCAGTTCACCCGCCATGCCAGTGATGTTCTTCTCAACCTTAATCGACTCCGGAGTCGAGACATCTTGACTGATGTTGTCATTGTTGTGAGCCGTGAGCAGTTTAGAGCCCATAAAACGGTCCTCATGGCCTGCAGTGGCCTGTTCTATAGCATCTTTACAGACCAGTTGAAATGCAACCTTAGTGTGATCAATCTAGATCCTGAGATCAACCCTGAGGGATTCTGCATCCTCCTGGACTTCATGTACACATCTCGGCTCAATTTGCGGGAGGGCAACATCATGGCTGTGATGGCCACGGCTATGTACCTGCAGATGGAGCATGTTGTGGACACTTGCCGGAAGTTTATTAAGGCCAGTGAAGCAGAGATGGTTTCTGCCATCAAGCCTCCTCGTGAAGAGTTCCTCAACAGCCGGATGCTGATGCCCCAAGACATCATGGCCTATCGGGGTCGTGAGGTGGTGGAGAACAACCTGCCACTGAGGAGCGCCCCTGGGTGTGAGAGCAGAGCCTTTGCCCCCAGCCTGTACAGTGGCCTGTCCACACCGCCAGCCTCTTATTCCATGTACAGCCACCTCCCTGTCAGCAGCCTCCTCTTCTCCGATGAGGAGTTTCGGGATGTCCGGATGCCTGTGGCCAACCCCTTCCCCAAGGAGCGGGCACTCCCATGTGATAGTGCCAGGCCAGTCCCTGGTGAGTACAGCCGGCCGACTTTGGAGGTGTCCCCCAATGTGTGCCACAGCAATATCTATTCACCCAAGGAAACAATCCCAGAAGAGGCACGAAGTGATATGCACTACAGTGTGGCTGAGGGCCTCAAACCTGCTGCCCCCTCAGCCCGAAATGCCCCCTACTTCCCTTGTGACAAGGCCAGCAAAGAAGAAGAGAGACCCTCCTCGGAAGATGAGATTGCCCTGCATTTCGAGCCCCCCAATGCACCCCTGAACCGGAAGGGTCTGGTTAGTCCACAGAGCCCCCAGAAATCTGACTGCCAGCCCAACTCGCCCACAGAGTCCTGCAGCAGTAAGAATGCCTGCATCCTCCAGGCTTCTGGCTCCCCTCCAGCCAAGAGCCCCACTGACCCCAAAGCCTGCAACTGGAAGAAATACAAGTTCATCGTGCTCAACAGCCTCAACCAGAATGCCAAACCAGAGGGGCCTGAGCAGGCTGAGCTGGGCCGCCTTTCCCCACGAGCCTACACGGCCCCACCTGCCTGCCAGCCACCCATGGAGCCTGAGAACCTTGACCTCCAGTCCCCAACCAAGCTGAGTGCCAGCGGGGAGGACTCCACCATCCCACAAGCCAGCCGGCTCAATAACATCGTTAACAGGTCCATGACGGGCTCTCCCCGCAGCAGCAGCGAGAGCCACTCACCACTCTACATGCACCCCCCGAAGTGCACGTCCTGCGGCTCTCAGTCCCCACAGCATGCAGAGATGTGCCTCCACACCGCTGGCCCCACGTTCCCTGAGGAGATGGGAGAGACCCAGTCTGAGTACTCAGATTCTAGCTGTGAGAACGGGGCCTTCTTCTGCAATGAGTGTGACTGCCGCTTCTCTGAGGAGGCCTCACTCAAGAGGCACACGCTGCAGACCCACAGTGACAAACCCTACAAGTGTGACCGCTGCCAGGCCTCCTTCCGCTACAAGGGCAACCTCGCCAGCCACAAGACCGTCCATACCGGTGAGAAACCCTATCGTTGCAACATCTGTGGGGCCCAGTTCAACCGGCCAGCCAACCTGAAAACCCACACTCGAATTCACTCTGGAGAGAAGCCCTACAAATGCGAAACCTGCGGAGCCAGATTTGTACAGGTGGCCCACCTCCGTGCCCATGTGCTTATCCACACTGGTGAGAAGCCCTATCCCTGTGAAATCTGTGGCACCCGTTTCCGGCACCTTCAGACTCTGAAGAGCCACCTGCGAATCCACACAGGAGAGAAACCTTACCATTGTGAGAAGTGTAACCTGCATTTCCGTCACAAAAGCCAGCTGCGACTTCACTTGCGCCAGAAGCATGGCGCCATCACCAACACCAAGGTGCAATACCGCGTGTCAGCCACTGACCTGCCTCCGGAGCTCCCCAAAGCCTGCTGACTCGGGAGACG</t>
  </si>
  <si>
    <t>CAATCCGCCCTCACTACAACCGCGTCTCACTCTATGGCCTCGCCGGCTGACAGCTGTATCCAGTTCACCCGCCATGCCAGTGATGTTCTTCTCAACCTTAATCGACTCCGGAGTCGAGACATCTTGACTGATGTTGTCATTGTTGTGAGCCGTGAGCAGTTTAGAGCCCATAAAACGGTCCTCATGGCCTGCAGTGGCCTGTTCTATAGCATCTTTACAGACCAGTTGAAATGCAACCTTAGTGTGATCAATCTAGATCCTGAGATCAACCCTGAGGGATTCTGCATCCTCCTGGACTTCATGTACACATCTCGGCTCAATTTGCGGGAGGGCAACATCATGGCTGTGATGGCCACGGCTATGTACCTGCAGATGGAGCATGTTGTGGACACTTGCCGGAAGTTTATTAAGGCCAGTGAAGCAGAGATGGTTTCTGCCATCAAGCCTCCTCGTGAAGAGTTCCTCAACAGCCGGATGCTGATGCCCCAAGACATCATGGCCTATCGGGGTCGTGAGGTGGTGGAGAACAACCTGCCACTGAGGAGCGCCCCTGGGTGTGAGAGCAGAGCCTTTGCCCCCAGCCTGTACAGTGGCCTGTCCACACCGCCAGCCTCTTATTCCATGTACAGCCACCTCCCTGTCAGCAGCCTCCTCTTCTCCGATGAGGAGTTTCGGGATGTCCGGATGCCTGTGGCCAACCCCTTCCCCAAGGAGCGGGCACTCCCATGTGATAGTGCCAGGCCAGTCCCTGGTGAGTACAGCCGGCCGACTTTGGAGGTGTCCCCCAATGTGTGCCACAGCAATATCTATTCACCCAAGGAAACAATCCCAGAAGAGGCACGAAGTGATATGCACTACAGTGTGGCTGAGGGCCTCAAACCTGCTGCCCCCTCAGCCCGAAATGCCCCCTACTTCCCTTGTGACAAGGCCAGCAAAGAAGAAGAGAGACCCTCCTCGGAAGATGAGATTGCCCTGCATTTCGAGCCCCCCAATGCACCCCTGAACCGGAAGGGTCTGGTTAGTCCACAGAGCCCCCAGAAATCTGACTGCCAGCCCAACTCGCCCACAGAGTCCTGCAGCAGTAAGAATGCCTGCATCCTCCAGGCTTCTGGCTCCCCTCCAGCCAAGAGCCCCACTGACCCCAAAGCCTGCAACTGGAAGAAATACAAGTTCATCGTGCTCAACAGCCTCAACCAGAATGCCAAACCAGAGGGGCCTGAGCAGGCTGAGCTGGGCCGCCTTTCCCCACGAGCCTACACGGCCCCACCTGCCTGCCAGCCACCCATGGAGCCTGAGAACCTTGACCTCCAGTCCCCAACCAAGCTGAGTGCCAGCGGGGAGGACTCCACCATCCCACAAGCCAGCCGGCTCAATAACATCGTTAACAGGTCCATGACGGGCTCTCCCCGCAGCAGCAGCGAGAGCCACTCACCACTCTACATGCACCCCCCGAAGTGCACGTCCTGCGGCTCTCAGTCCCCACAGCATGCAGAGATGTGCCTCCACACCGCTGGCCCCACGTTCCCTGAGGAGATGGGAGAGACCCAGTCTGAGTACTCAGATTCTAGCTGTGAGAACGGGGCCTTCTTCTGCAATGAGTGTGACTGCCGCTTCTCTGAGGAGGCCTCACTCAAGAGGCACACGCTGCAGACCCACAGTGACAAACCCTACAAGTGTGACCGCTGCCAGGCCTCCTTCCGCTACAAGGGCAACCTCGCCAGCCACAAGACCGTCCATACCGGTGAGAAACCCTATCGTTGCAACATCTGTGGGGCCCAGTTCAACCGGCCAGCCAACCTGAAAACCCACACTCGAATTCACTCTGGAGAGAAGCCCTACAAATGCGAAACCTGCGGAGCCAGATTTGTACAGGTGGCCCACCTCCGTGCCCATGTGCTTATCCACACTGGTGAGAAGCCCTATCCCTGTGAAATCTGTGGCACCCGTTTCCGGCACCTTCAGACTCTGAAGAGCCACCTGCGAATCCACACAGGAGAGAAACCTTACCATTGTGAGAAGTGTAACCTGCATTTCCGTCACAAAAGCCAGCTGCGACTTCACTTGCGCCAGAAGCATGGCGCCATCACCAACACCAAGGTGCAATACCGCGTGTCAGCCACTGACCTGCCTCCGGAGCTCCCCAAAGCCTGCTGACTCGGGAGACGCTACTCTGGCGTCGATGAGGGA</t>
  </si>
  <si>
    <t>D7B-ZBTB20-stop</t>
  </si>
  <si>
    <t>F7</t>
  </si>
  <si>
    <t>CGTCTCACTCTATGCTGGAGCGCAAGAAGCCTAAAACCGCCGAGAATCAGAAAGCGAGTGAAGAAAACGAAATAACCCAACCTGGCGGCTCATCCGCAAAACCCGGGCTGCCTTGTCTCAATTTCGAGGCGGTACTCTCACCCGATCCTGCTCTGATACATTCTACCCACAGTCTCACCAATAGCCATGCACATACTGGATCCAGTGACTGCGATATATCTTGTAAAGGCATGACTGAAAGAATCCATTCCATCAATCTCCATAATTTTAGTAACTCTGTCCTGGAAACTCTTAATGAACAAAGAAATAGGGGACATTTCTGCGATGTTACCGTTAGAATACATGGTTCTATGTTAAGGGCCCATCGGTGTGTTCTCGCCGCGGGTTCACCATTCTTCCAAGATAAACTTCTTTTGGGATATTCCGATATTGAAATACCATCTGTAGTAAGCGTCCAATCCGTACAGAAACTTATAGATTTTATGTATAGCGGGGTCCTTCGCGTTAGTCAATCCGAGGCATTGCAAATACTTACCGCGGCTTCTATACTCCAAATTAAGACGGTTATTGATGAATGTACCCGAATTGTAAGTCAAAATGTTGGGGACGTCTTTCCCGGCATTCAAGATTCCGGTCAAGATACACCTCGCGGGACCCCTGAAAGCGGAACTTCTGGGCAAAGTTCCGATACAGAATCAGGTTATTTACAATCACATCCCCAACATAGTGTCGATAGAATTTATAGTGCCCTGTATGCCTGTAGTATGCAAAACGGGTCCGGTGAACGGAGTTTCTATAGTGGGGCCGTCGTGTCTCATCATGAAACCGCCTTGGGGCTTCCACGGGATCATCATATGGAAGATCCTAGTTGGATTACGAGGATTCACGAACGAAGCCAACAAATGGAACGTTATCTTTCTACAACACCAGAAACAACCCATTGTCGTAAACAACCAAGGCCCGTTAGGATTCAAACGCTGGTTGGAAATATTCATATAAAACAAGAAATGGAAGATGACTATGATTATTATGGCCAACAGCGAGTACAAATTCTCGAGCGGAATGAGTCAGAAGAATGTACTGAGGATACTGATCAAGCTGAAGGGACTGAATCCGAACCTAAGGGAGAGAGCTTTGATAGTGGTGTGAGTTCAAGTATTGGGACTGAACCAGATAGCGTTGAACAACAATTCGGTCCCGGAGCAGCCCGTGATAGTCAAGCCGAGCCTACTCAGCCAGAACAAGCGGCCGAGGCACCGGCCGAAGGCGGCCCCCAAACCAATCAACTCGAGACAGGCGCGAGCTCCCCAGAACGCTCAAACGAGGTTGAAATGGATTCCACCGTCATTACGGTTTCTAATTCCTCAGATAAAAGTGTATTACAGCAACCCAGTGTGAATACAAGTATTGGTCAACCCCTGCCCAGCACTCAATTATATCTGCGTCAAACTGAGACACTGACATCCAATCTCCGGATGCCACTTACACTCACTTCCAATACACAAGTTATCGGAACCGCCGGAAATACTTATCTCCCTGCATTGTTTACAACACAACCTGCCGGTTCTGGGCCGAAACCATTTCTGTTTTCCTTGCCTCAACCACTCGCTGGTCAACAAACACAATTCGTCACTGTTTCTCAACCGGGGCTCTCCACTTTCACCGCTCAACTCCCTGCCCCACAACCACTCGCTTCTAGTGCTGGACATTCCACGGCTTCCGGCCAGGGAGAGAAGAAACCATACGAATGTACATTATGTAATAAAACCTTTACAGCGAAGCAAAATTATGTGAAACATATGTTTGTGCATACCGGGGAAAAGCCACATCAGTGTTCTATATGCTGGCGAAGTTTCTCTCTGAAAGACTATCTGATTAAACATATGGTCACCCATACGGGAGTCCGGGCCTATCAATGCTCAATTTGTAATAAACGATTTACGCAAAAGTCAAGCCTGAATGTTCATATGCGACTGCATAGAGGCGAAAAGTCATACGAATGTTATATTTGTAAGAAGAAGTTCTCCCATAAAACACTTCTGGAACGTCATGTCGCTCTCCATTCCGCGTCCAACGGCACACCACCAGCCGGTACCCCACCTGGCGCGAGAGCAGGACCACCTGGTGTCGTCGCTTGTACCGAAGGAACGACATATGTATGTAGTGTTTGTCCTGCCAAATTCGATCAGATTGAACAATTTAATGATCATATGCGGATGCACGTTTCAGATGGTTGACTCGGGAGACG</t>
  </si>
  <si>
    <t>CAATCCGCCCTCACTACAACCGCGTCTCACTCTATGCTGGAGCGCAAGAAGCCTAAAACCGCCGAGAATCAGAAAGCGAGTGAAGAAAACGAAATAACCCAACCTGGCGGCTCATCCGCAAAACCCGGGCTGCCTTGTCTCAATTTCGAGGCGGTACTCTCACCCGATCCTGCTCTGATACATTCTACCCACAGTCTCACCAATAGCCATGCACATACTGGATCCAGTGACTGCGATATATCTTGTAAAGGCATGACTGAAAGAATCCATTCCATCAATCTCCATAATTTTAGTAACTCTGTCCTGGAAACTCTTAATGAACAAAGAAATAGGGGACATTTCTGCGATGTTACCGTTAGAATACATGGTTCTATGTTAAGGGCCCATCGGTGTGTTCTCGCCGCGGGTTCACCATTCTTCCAAGATAAACTTCTTTTGGGATATTCCGATATTGAAATACCATCTGTAGTAAGCGTCCAATCCGTACAGAAACTTATAGATTTTATGTATAGCGGGGTCCTTCGCGTTAGTCAATCCGAGGCATTGCAAATACTTACCGCGGCTTCTATACTCCAAATTAAGACGGTTATTGATGAATGTACCCGAATTGTAAGTCAAAATGTTGGGGACGTCTTTCCCGGCATTCAAGATTCCGGTCAAGATACACCTCGCGGGACCCCTGAAAGCGGAACTTCTGGGCAAAGTTCCGATACAGAATCAGGTTATTTACAATCACATCCCCAACATAGTGTCGATAGAATTTATAGTGCCCTGTATGCCTGTAGTATGCAAAACGGGTCCGGTGAACGGAGTTTCTATAGTGGGGCCGTCGTGTCTCATCATGAAACCGCCTTGGGGCTTCCACGGGATCATCATATGGAAGATCCTAGTTGGATTACGAGGATTCACGAACGAAGCCAACAAATGGAACGTTATCTTTCTACAACACCAGAAACAACCCATTGTCGTAAACAACCAAGGCCCGTTAGGATTCAAACGCTGGTTGGAAATATTCATATAAAACAAGAAATGGAAGATGACTATGATTATTATGGCCAACAGCGAGTACAAATTCTCGAGCGGAATGAGTCAGAAGAATGTACTGAGGATACTGATCAAGCTGAAGGGACTGAATCCGAACCTAAGGGAGAGAGCTTTGATAGTGGTGTGAGTTCAAGTATTGGGACTGAACCAGATAGCGTTGAACAACAATTCGGTCCCGGAGCAGCCCGTGATAGTCAAGCCGAGCCTACTCAGCCAGAACAAGCGGCCGAGGCACCGGCCGAAGGCGGCCCCCAAACCAATCAACTCGAGACAGGCGCGAGCTCCCCAGAACGCTCAAACGAGGTTGAAATGGATTCCACCGTCATTACGGTTTCTAATTCCTCAGATAAAAGTGTATTACAGCAACCCAGTGTGAATACAAGTATTGGTCAACCCCTGCCCAGCACTCAATTATATCTGCGTCAAACTGAGACACTGACATCCAATCTCCGGATGCCACTTACACTCACTTCCAATACACAAGTTATCGGAACCGCCGGAAATACTTATCTCCCTGCATTGTTTACAACACAACCTGCCGGTTCTGGGCCGAAACCATTTCTGTTTTCCTTGCCTCAACCACTCGCTGGTCAACAAACACAATTCGTCACTGTTTCTCAACCGGGGCTCTCCACTTTCACCGCTCAACTCCCTGCCCCACAACCACTCGCTTCTAGTGCTGGACATTCCACGGCTTCCGGCCAGGGAGAGAAGAAACCATACGAATGTACATTATGTAATAAAACCTTTACAGCGAAGCAAAATTATGTGAAACATATGTTTGTGCATACCGGGGAAAAGCCACATCAGTGTTCTATATGCTGGCGAAGTTTCTCTCTGAAAGACTATCTGATTAAACATATGGTCACCCATACGGGAGTCCGGGCCTATCAATGCTCAATTTGTAATAAACGATTTACGCAAAAGTCAAGCCTGAATGTTCATATGCGACTGCATAGAGGCGAAAAGTCATACGAATGTTATATTTGTAAGAAGAAGTTCTCCCATAAAACACTTCTGGAACGTCATGTCGCTCTCCATTCCGCGTCCAACGGCACACCACCAGCCGGTACCCCACCTGGCGCGAGAGCAGGACCACCTGGTGTCGTCGCTTGTACCGAAGGAACGACATATGTATGTAGTGTTTGTCCTGCCAAATTCGATCAGATTGAACAATTTAATGATCATATGCGGATGCACGTTTCAGATGGTTGACTCGGGAGACGCTACTCTGGCGTCGATGAGGGA</t>
  </si>
  <si>
    <t>D7-Term</t>
  </si>
  <si>
    <t>G7</t>
  </si>
  <si>
    <t>CGTCTCACAGTGGCGGCTCTTAGCTCGGGAGACGAGTGCTTCATTCCAAGCCATCACCCATCGGACGATCAAATCCGCTTACATGAGCGCCCTTACTGTTTCCCTTCCACGGTTGGGATTTACGGAACAACTGTTAACGGGAGCCCAAAGACAATTACGATTCCACAGCGTAATGGAGTGGCGGGCAAGCTGACACTCAGGCATGGTTATTCGACTAATCCGAAACCTAGTCAACGTCTGGGTAACCAACCGAGAGTGAGGTACTCGATCACTGTGCGGCGAACCTTCATGAAGTGAAAT</t>
  </si>
  <si>
    <t>CAATCCGCCCTCACTACAACCGCGTCTCACAGTGGCGGCTCTTAGCTCGGGAGACGAGTGCTTCATTCCAAGCCATCACCCATCGGACGATCAAATCCGCTTACATGAGCGCCCTTACTGTTTCCCTTCCACGGTTGGGATTTACGGAACAACTGTTAACGGGAGCCCAAAGACAATTACGATTCCACAGCGTAATGGAGTGGCGGGCAAGCTGACACTCAGGCATGGTTATTCGACTAATCCGAAACCTAGTCAACGTCTGGGTAACCAACCGAGAGTGAGGTACTCGATCACTGTGCGGCGAACCTTCATGAAGTGAAATCTACTCTGGCGTCGATGAGGGA</t>
  </si>
  <si>
    <t>D3-CD40</t>
  </si>
  <si>
    <t>H7</t>
  </si>
  <si>
    <t>CGTCTCACTGCAAGAAGGTGGCCAAGAAGCCAACCAATAAGGCCCCCCACCCCAAGCAGGAACCCCAGGAGATCAATTTTCCCGACGATCTTCCTGGCTCCAACACTGCTGCTCCAGTGCAGGAGACTTTACATGGATGCCAACCGGTCACCCAGGAGGATGGCAAAGAGAGTCGCATCTCAGTGCAGGAGAGACAGGGATCCGGAGACGTCCGTTAGCCGTTTATCGTAGGTCAGGAGAGTGCGACCGTCGCAGAACATCCAGACAACTTAGAGATGCACCCGCGAATGATTCAAGTAA</t>
  </si>
  <si>
    <t>CAATCCGCCCTCACTACAACCGCGTCTCACTGCAAGAAGGTGGCCAAGAAGCCAACCAATAAGGCCCCCCACCCCAAGCAGGAACCCCAGGAGATCAATTTTCCCGACGATCTTCCTGGCTCCAACACTGCTGCTCCAGTGCAGGAGACTTTACATGGATGCCAACCGGTCACCCAGGAGGATGGCAAAGAGAGTCGCATCTCAGTGCAGGAGAGACAGGGATCCGGAGACGTCCGTTAGCCGTTTATCGTAGGTCAGGAGAGTGCGACCGTCGCAGAACATCCAGACAACTTAGAGATGCACCCGCGAATGATTCAAGTAACTACTCTGGCGTCGATGAGGGA</t>
  </si>
  <si>
    <t>D3-TRIF</t>
  </si>
  <si>
    <t>A8</t>
  </si>
  <si>
    <t>CGTCTCACTGCGGATCCATACGCACACTCCAGTCAAACTTAGGTTGCTTGCCCCCGAGCAGTGCCTTGCCTAGCGGCACAAGAAGTCTGCCCCGGCCCATCGACGGCGTGAGTGACTGGTCACAGGGTTGCTCCTTGCGAAGCACTGGGAGTCCTGCTTCACTTGCATCTAACCTCGAGATTTCTCAGAGCCCCACAATGCCTTTCCTTAGCTTGCACCGCTCCCCACACGGCCCGTCCAAGCTGTGCGACGACCCCCAGGCATCACTGGTGCCTGAGCCGGTACCCGGCGGTTGTCAAGAGCCTGAGGAGATGTCATGGCCCCCGAGCGGCGAGATCGCCTCACCACCTGAACTGCCAAGCTCACCCCCGCCAGGCCTGCCTGAGGTCGCTCCCGATGCAACGTCAACCGGCCTGCCAGATACTCCAGCAGCCCCCGAGACTTCAACCAACTACCCAGTGGAGTGCACAGAGGGCTCAGCAGGTCCGCAGTCTCTGCCATTGCCTATCTTGGAGCCCGTGAAGAACCCGTGCTCTGTGAAGGACCAGACACCCCTTCAGCTTTCAGTGGAAGACACCACCTCACCCAACACCAAGCCTTGCCCGCCAACCCCCACCACCCCAGAGACTTCCCCACCCCCACCACCGCCTCCTCCTAGCAGCACCCCCTGCAGCGCCCACCTGACCCCCAGCAGCCTGTTCCCCAGCAGCCTGGAGGGATCCGGAGACG</t>
  </si>
  <si>
    <t>CAATCCGCCCTCACTACAACCGCGTCTCACTGCGGATCCATACGCACACTCCAGTCAAACTTAGGTTGCTTGCCCCCGAGCAGTGCCTTGCCTAGCGGCACAAGAAGTCTGCCCCGGCCCATCGACGGCGTGAGTGACTGGTCACAGGGTTGCTCCTTGCGAAGCACTGGGAGTCCTGCTTCACTTGCATCTAACCTCGAGATTTCTCAGAGCCCCACAATGCCTTTCCTTAGCTTGCACCGCTCCCCACACGGCCCGTCCAAGCTGTGCGACGACCCCCAGGCATCACTGGTGCCTGAGCCGGTACCCGGCGGTTGTCAAGAGCCTGAGGAGATGTCATGGCCCCCGAGCGGCGAGATCGCCTCACCACCTGAACTGCCAAGCTCACCCCCGCCAGGCCTGCCTGAGGTCGCTCCCGATGCAACGTCAACCGGCCTGCCAGATACTCCAGCAGCCCCCGAGACTTCAACCAACTACCCAGTGGAGTGCACAGAGGGCTCAGCAGGTCCGCAGTCTCTGCCATTGCCTATCTTGGAGCCCGTGAAGAACCCGTGCTCTGTGAAGGACCAGACACCCCTTCAGCTTTCAGTGGAAGACACCACCTCACCCAACACCAAGCCTTGCCCGCCAACCCCCACCACCCCAGAGACTTCCCCACCCCCACCACCGCCTCCTCCTAGCAGCACCCCCTGCAGCGCCCACCTGACCCCCAGCAGCCTGTTCCCCAGCAGCCTGGAGGGATCCGGAGACGCTACTCTGGCGTCGATGAGGGA</t>
  </si>
  <si>
    <t>D3-MEG10</t>
  </si>
  <si>
    <t>B8</t>
  </si>
  <si>
    <t>CGTCTCACTGCTACAGGCACAAGCAGAAGGGCAAGGAGAGCAGCATGCCCGCCGTGACCTACACCCCCGCCATGAGGGTGGTGAACGCCGACTACACCATCAGCGGCACCCTGCCCCACAGCAACGGCGGCAACGCCAACAGCCACTACTTCACCAACCCCAGCTACCACACCCTGACCCAGTGCGCCACCAGCCCCCACGTGAACAACAGGGACAGGATGACCGTGACCAAGAGCAAGAACAACCAGCTGTTCGTGAACCTGAAGAACGTGAACCCCGGCAAGAGGGGCCCCGTGGGCGACTGCACCGGCACCCTGCCCGCCGACTGGAAGCACGGCGGCTACCTGAACGAGCTGGGCGCCTTCGGCCTGGACAGGAGCTACATGGGCAAGAGCCTGAAGGACCTGGGCAAGAACAGCGAGTACAACAGCAGCAACTGCAGCCTGAGCAGCAGCGAGAACCCCTACGCCACCATCAAGGACCCCCCCGTGCTGATCCCCAAGAGCAGCGAGTGCGGCTACGTGGAGATGAAGAGCCCCGCCAGGAGGGACAGCCCCTACGCCGAGATCAACAACAGCACCAGCGCCAACAGGAACGTGTACGAGGTGGAGCCCACCGTGAGCGTGGTGCAGGGCGTGTTCAGCAACAACGGCAGGCTGAGCCAGGACCCCTACGACCTGCCCAAGAACAGCCACATCCCCTGCCACTACGACCTGCTGCCCGTGAGAGACAGCAGCAGCAGCCCCAAGCAGGAGGACAGCGGCGGCAGCAGCAGCAACAGCAGCAGCAGCAGCGAGGGATCCGGAGACG</t>
  </si>
  <si>
    <t>CAATCCGCCCTCACTACAACCGCGTCTCACTGCTACAGGCACAAGCAGAAGGGCAAGGAGAGCAGCATGCCCGCCGTGACCTACACCCCCGCCATGAGGGTGGTGAACGCCGACTACACCATCAGCGGCACCCTGCCCCACAGCAACGGCGGCAACGCCAACAGCCACTACTTCACCAACCCCAGCTACCACACCCTGACCCAGTGCGCCACCAGCCCCCACGTGAACAACAGGGACAGGATGACCGTGACCAAGAGCAAGAACAACCAGCTGTTCGTGAACCTGAAGAACGTGAACCCCGGCAAGAGGGGCCCCGTGGGCGACTGCACCGGCACCCTGCCCGCCGACTGGAAGCACGGCGGCTACCTGAACGAGCTGGGCGCCTTCGGCCTGGACAGGAGCTACATGGGCAAGAGCCTGAAGGACCTGGGCAAGAACAGCGAGTACAACAGCAGCAACTGCAGCCTGAGCAGCAGCGAGAACCCCTACGCCACCATCAAGGACCCCCCCGTGCTGATCCCCAAGAGCAGCGAGTGCGGCTACGTGGAGATGAAGAGCCCCGCCAGGAGGGACAGCCCCTACGCCGAGATCAACAACAGCACCAGCGCCAACAGGAACGTGTACGAGGTGGAGCCCACCGTGAGCGTGGTGCAGGGCGTGTTCAGCAACAACGGCAGGCTGAGCCAGGACCCCTACGACCTGCCCAAGAACAGCCACATCCCCTGCCACTACGACCTGCTGCCCGTGAGAGACAGCAGCAGCAGCCCCAAGCAGGAGGACAGCGGCGGCAGCAGCAGCAACAGCAGCAGCAGCAGCGAGGGATCCGGAGACGCTACTCTGGCGTCGATGAGGGA</t>
  </si>
  <si>
    <t>D3-MERTK</t>
  </si>
  <si>
    <t>C8</t>
  </si>
  <si>
    <t>CGTCTCACTGCAAGAGGGTGCAGGAAACCAAGTTCGGCAACGCCTTCACCGAGGAGGACAGCGAGCTGGTGGTGAACTACATCGCCAAGAAGAGCTTCTGCAGAAGGGCCATCGAGCTGACCCTGCACAGCCTGGGCGTGAGCGAGGAGCTGCAGAACAAGCTGGAGGACGTGGTGATCGACAGGAACCTGCTGATCCTGGGCAAGATCCTGGGCGAGGGCGAGTTCGGCAGCGTGATGGAGGGCAACCTGAAGCAGGAGGACGGCACCAGCCTGAAGGTGGCCGTGAAGACCATGAAGCTGGACAACAGCAGCCAGAGGGAGATCGAGGAGTTCCTGAGCGAGGCCGCCTGCATGAAGGACTTCAGCCACCCCAACGTGATCAGGCTGCTGGGCGTGTGCATCGAGATGAGCAGCCAGGGCATCCCCAAGCCCATGGTGATCCTGCCCTTCATGAAGTACGGCGACCTGCACACCTACCTGCTGTACAGCAGGCTGGAGACCGGCCCCAAGCACATCCCCCTGCAGACCCTGCTGAAGTTCATGGTGGACATCGCCCTGGGCATGGAGTACCTGAGCAACAGGAACTTCCTGCACAGGGACCTGGCCGCCAGGAACTGCATGCTGAGGGACGACATGACCGTGTGCGTGGCCGACTTCGGCCTGAGCAAGAAGATCTACAGCGGCGACTACTACAGGCAGGGCAGGATCGCCAAGATGCCCGTGAAGTGGATCGCCATCGAGAGCCTGGCCGACAGGGTGTACACCAGCAAGAGCGACGTGTGGGCCTTCGGCGTGACCATGTGGGAGATCGCCACCAGGGGCATGACCCCCTACCCCGGCGTGCAGAACCACGAGATGTACGACTACCTGCTGCACGGCCACAGGCTGAAGCAGCCCGAGGACTGCCTGGACGAGCTGTACGAGATCATGTACAGCTGCTGGAGGACCGACCCCCTGGACAGACCCACCTTCAGCGTGCTGAGGCTGCAGCTGGAGAAGCTGCTGGAGAGCCTGCCCGACGTGAGGAACCAGGCCGACGTGATCTACGTGAACACCCAGCTGCTGGAGAGCAGCGAGGGCCTGGCCCAGGGCAGCACCCTGGCCCCCCTGGACCTGAACATCGACCCCGACAGCATCATCGCCAGCTGCACCCCCAGGGCCGCCATCAGCGTGGTGACCGCCGAGGTGCACGACAGCAAGCCCCACGAGGGCAGGTACATCCTGAACGGCGGCAGCGAGGAGTGGGAGGACCTGACCAGCGCCCCCAGCGCCGCCGTGACCGCCGAGAAGAACAGCGTGCTGCCCGGCGAGAGGCTGGTGAGAAACGGCGTGAGCTGGAGCCACAGCAGCATGCTGCCCCTGGGCAGCAGCCTGCCCGACGAGCTGCTGTTCGCCGACGACAGCAGCGAGGGCAGCGAGGTGCTGATGGGATCCGGAGACG</t>
  </si>
  <si>
    <t>CAATCCGCCCTCACTACAACCGCGTCTCACTGCAAGAGGGTGCAGGAAACCAAGTTCGGCAACGCCTTCACCGAGGAGGACAGCGAGCTGGTGGTGAACTACATCGCCAAGAAGAGCTTCTGCAGAAGGGCCATCGAGCTGACCCTGCACAGCCTGGGCGTGAGCGAGGAGCTGCAGAACAAGCTGGAGGACGTGGTGATCGACAGGAACCTGCTGATCCTGGGCAAGATCCTGGGCGAGGGCGAGTTCGGCAGCGTGATGGAGGGCAACCTGAAGCAGGAGGACGGCACCAGCCTGAAGGTGGCCGTGAAGACCATGAAGCTGGACAACAGCAGCCAGAGGGAGATCGAGGAGTTCCTGAGCGAGGCCGCCTGCATGAAGGACTTCAGCCACCCCAACGTGATCAGGCTGCTGGGCGTGTGCATCGAGATGAGCAGCCAGGGCATCCCCAAGCCCATGGTGATCCTGCCCTTCATGAAGTACGGCGACCTGCACACCTACCTGCTGTACAGCAGGCTGGAGACCGGCCCCAAGCACATCCCCCTGCAGACCCTGCTGAAGTTCATGGTGGACATCGCCCTGGGCATGGAGTACCTGAGCAACAGGAACTTCCTGCACAGGGACCTGGCCGCCAGGAACTGCATGCTGAGGGACGACATGACCGTGTGCGTGGCCGACTTCGGCCTGAGCAAGAAGATCTACAGCGGCGACTACTACAGGCAGGGCAGGATCGCCAAGATGCCCGTGAAGTGGATCGCCATCGAGAGCCTGGCCGACAGGGTGTACACCAGCAAGAGCGACGTGTGGGCCTTCGGCGTGACCATGTGGGAGATCGCCACCAGGGGCATGACCCCCTACCCCGGCGTGCAGAACCACGAGATGTACGACTACCTGCTGCACGGCCACAGGCTGAAGCAGCCCGAGGACTGCCTGGACGAGCTGTACGAGATCATGTACAGCTGCTGGAGGACCGACCCCCTGGACAGACCCACCTTCAGCGTGCTGAGGCTGCAGCTGGAGAAGCTGCTGGAGAGCCTGCCCGACGTGAGGAACCAGGCCGACGTGATCTACGTGAACACCCAGCTGCTGGAGAGCAGCGAGGGCCTGGCCCAGGGCAGCACCCTGGCCCCCCTGGACCTGAACATCGACCCCGACAGCATCATCGCCAGCTGCACCCCCAGGGCCGCCATCAGCGTGGTGACCGCCGAGGTGCACGACAGCAAGCCCCACGAGGGCAGGTACATCCTGAACGGCGGCAGCGAGGAGTGGGAGGACCTGACCAGCGCCCCCAGCGCCGCCGTGACCGCCGAGAAGAACAGCGTGCTGCCCGGCGAGAGGCTGGTGAGAAACGGCGTGAGCTGGAGCCACAGCAGCATGCTGCCCCTGGGCAGCAGCCTGCCCGACGAGCTGCTGTTCGCCGACGACAGCAGCGAGGGCAGCGAGGTGCTGATGGGATCCGGAGACGCTACTCTGGCGTCGATGAGGGA</t>
  </si>
  <si>
    <t>D3-LY9</t>
  </si>
  <si>
    <t>D8</t>
  </si>
  <si>
    <t>CGTCTCACTGCAAGAGGAAGGGCAGGTGCAGCGTGCCCGCCTTCTGCAGCAGCCAGGCCGAGGCCCCCGCCGACACCCCCGAGCCCACCGCCGGCCACACCCTGTACAGCGTGCTGAGCCAGGGCTACGAGAAGCTGGACACCCCCCTGAGGCCCGCCAGACAGCAGCCCACCCCCACCAGCGACAGCAGCAGCGACAGCAACCTGACCACCGAGGAGGACGAGGACAGACCCGAGGTGCACAAGCCCATCAGCGGCAGGTACGAGGTGTTCGACCAGGTGACCCAGGAGGGCGCCGGCCACGACCCCGCCCCCGAGGGCCAGGCCGACTACGACCCCGTGACCCCCTACGTGACCGAGGTGGAGAGCGTGGTGGGCGAGAACACCATGTACGCCCAGGTGTTCAACCTGCAGGGCAAGACCCCCGTGAGCCAGAAGGAGGAGAGCAGCGCCACCATCTACTGTTCAATCAGGAAGCCACAGGTAGTACCACCCCCACAGCAAAACGACCTGGAGATACCCGAATCACCCACATACGAAAACTTCACAGGATCCGGAGACG</t>
  </si>
  <si>
    <t>CAATCCGCCCTCACTACAACCGCGTCTCACTGCAAGAGGAAGGGCAGGTGCAGCGTGCCCGCCTTCTGCAGCAGCCAGGCCGAGGCCCCCGCCGACACCCCCGAGCCCACCGCCGGCCACACCCTGTACAGCGTGCTGAGCCAGGGCTACGAGAAGCTGGACACCCCCCTGAGGCCCGCCAGACAGCAGCCCACCCCCACCAGCGACAGCAGCAGCGACAGCAACCTGACCACCGAGGAGGACGAGGACAGACCCGAGGTGCACAAGCCCATCAGCGGCAGGTACGAGGTGTTCGACCAGGTGACCCAGGAGGGCGCCGGCCACGACCCCGCCCCCGAGGGCCAGGCCGACTACGACCCCGTGACCCCCTACGTGACCGAGGTGGAGAGCGTGGTGGGCGAGAACACCATGTACGCCCAGGTGTTCAACCTGCAGGGCAAGACCCCCGTGAGCCAGAAGGAGGAGAGCAGCGCCACCATCTACTGTTCAATCAGGAAGCCACAGGTAGTACCACCCCCACAGCAAAACGACCTGGAGATACCCGAATCACCCACATACGAAAACTTCACAGGATCCGGAGACGCTACTCTGGCGTCGATGAGGGA</t>
  </si>
  <si>
    <t>D3-FCRL1</t>
  </si>
  <si>
    <t>E8</t>
  </si>
  <si>
    <t>CGTCTCACTGCGGCCTGAAGAGGAAGATCGGCAGGAGGAGCGCCAGGGACCCCCTGAGGAGCCTGCCCAGCCCCCTGCCCCAGGAGTTCACCTACCTGAACAGCCCCACCCCCGGCCAGCTGCAGCCCATCTACGAGAACGTGAACGTGGTGAGCGGCGACGAGGTGTACAGCCTGGCCTACTACAACCAGCCCGAGCAGGAGAGCGTGGCCGCCGAGACCCTGGGCACCCACATGGAGGACAAGGTGAGCCTGGACATCTACAGCAGGCTGAGGAAGGCCAACATCACCGACGTGGACTACGAGGACGCCATGGGATCCGGAGACG</t>
  </si>
  <si>
    <t>CAATCCGCCCTCACTACAACCGCGTCTCACTGCGGCCTGAAGAGGAAGATCGGCAGGAGGAGCGCCAGGGACCCCCTGAGGAGCCTGCCCAGCCCCCTGCCCCAGGAGTTCACCTACCTGAACAGCCCCACCCCCGGCCAGCTGCAGCCCATCTACGAGAACGTGAACGTGGTGAGCGGCGACGAGGTGTACAGCCTGGCCTACTACAACCAGCCCGAGCAGGAGAGCGTGGCCGCCGAGACCCTGGGCACCCACATGGAGGACAAGGTGAGCCTGGACATCTACAGCAGGCTGAGGAAGGCCAACATCACCGACGTGGACTACGAGGACGCCATGGGATCCGGAGACGCTACTCTGGCGTCGATGAGGGA</t>
  </si>
  <si>
    <t>D3-IL12RB1</t>
  </si>
  <si>
    <t>F8</t>
  </si>
  <si>
    <t>CGTCTCACTGCAACAGGGCCGCCAGGCACCTGTGCCCCCCCCTGCCCACCCCCTGCGCCAGCAGCGCCATCGAGTTCCCCGGCGGCAAGGAGACCTGGCAGTGGATCAACCCCGTGGACTTCCAGGAGGAGGCCAGCCTGCAGGAGGCCCTGGTGGTGGAGATGAGCTGGGACAAGGGCGAGAGGACCGAGCCCCTGGAGAAGACCGAGCTGCCCGAGGGCGCACCCGAGCTAGCACTAGATACCGAGCTATCCTTAGAAGATGGCGACAGGTGCAAAGCAAAGATGGGATCCGGAGACG</t>
  </si>
  <si>
    <t>CAATCCGCCCTCACTACAACCGCGTCTCACTGCAACAGGGCCGCCAGGCACCTGTGCCCCCCCCTGCCCACCCCCTGCGCCAGCAGCGCCATCGAGTTCCCCGGCGGCAAGGAGACCTGGCAGTGGATCAACCCCGTGGACTTCCAGGAGGAGGCCAGCCTGCAGGAGGCCCTGGTGGTGGAGATGAGCTGGGACAAGGGCGAGAGGACCGAGCCCCTGGAGAAGACCGAGCTGCCCGAGGGCGCACCCGAGCTAGCACTAGATACCGAGCTATCCTTAGAAGATGGCGACAGGTGCAAAGCAAAGATGGGATCCGGAGACGCTACTCTGGCGTCGATGAGGGA</t>
  </si>
  <si>
    <t>D3-NKp44</t>
  </si>
  <si>
    <t>G8</t>
  </si>
  <si>
    <t>CGTCTCACTGCTGGTGGGGCGACATCTGGTGGAAGACCATGATGGAGCTGAGGAGCCTGGACACCCAGAAGGCCACCTGCCACCTGCAGCAGGTGACCGACCTGCCCTGGACCAGCGTGAGCAGCCCCGTGGAGAGGGAGATCCTGTACCACACCGTGGCCAGGACCAAGATCAGCGACGACGACGACGAGCACACCCTGGGATCCGGAGACGGTCAATGACCAACGATCTCTTATGGAGGGTACAACTTGCTCGGATCTCCCACGTAGACCCGAGTTCCAGTTAATTCACCTGTCGTGC</t>
  </si>
  <si>
    <t>CAATCCGCCCTCACTACAACCGCGTCTCACTGCTGGTGGGGCGACATCTGGTGGAAGACCATGATGGAGCTGAGGAGCCTGGACACCCAGAAGGCCACCTGCCACCTGCAGCAGGTGACCGACCTGCCCTGGACCAGCGTGAGCAGCCCCGTGGAGAGGGAGATCCTGTACCACACCGTGGCCAGGACCAAGATCAGCGACGACGACGACGAGCACACCCTGGGATCCGGAGACGGTCAATGACCAACGATCTCTTATGGAGGGTACAACTTGCTCGGATCTCCCACGTAGACCCGAGTTCCAGTTAATTCACCTGTCGTGCCTACTCTGGCGTCGATGAGGGA</t>
  </si>
  <si>
    <t>D3-2B4</t>
  </si>
  <si>
    <t>H8</t>
  </si>
  <si>
    <t>CGTCTCACTGCTGGAGGAGGAAGAGGAAGGAGAAGCAGAGCGAGACCAGCCCCAAGGAGTTCCTGACCATCTACGAGGACGTGAAGGACCTGAAGACCAGGAGGAACCACGAGCAGGAGCAGACCTTCCCCGGCGGCGGCAGCACCATCTACAGCATGATCCAGAGCCAGAGCAGCGCCCCCACCAGCCAGGAGCCCGCCTACACCCTGTACAGCCTGATCCAGCCCAGCAGGAAGAGCGGCAGCAGGAAGAGGAACCACAGCCCCAGCTTCAACAGCACCATCTACGAGGTGATCGGCAAGAGCCAGCCCAAGGCCCAGAACCCCGCCAGGCTGAGCAGGAAGGAGCTGGAGAACTTCGACGTGTACAGCGGATCCGGAGACG</t>
  </si>
  <si>
    <t>CAATCCGCCCTCACTACAACCGCGTCTCACTGCTGGAGGAGGAAGAGGAAGGAGAAGCAGAGCGAGACCAGCCCCAAGGAGTTCCTGACCATCTACGAGGACGTGAAGGACCTGAAGACCAGGAGGAACCACGAGCAGGAGCAGACCTTCCCCGGCGGCGGCAGCACCATCTACAGCATGATCCAGAGCCAGAGCAGCGCCCCCACCAGCCAGGAGCCCGCCTACACCCTGTACAGCCTGATCCAGCCCAGCAGGAAGAGCGGCAGCAGGAAGAGGAACCACAGCCCCAGCTTCAACAGCACCATCTACGAGGTGATCGGCAAGAGCCAGCCCAAGGCCCAGAACCCCGCCAGGCTGAGCAGGAAGGAGCTGGAGAACTTCGACGTGTACAGCGGATCCGGAGACGCTACTCTGGCGTCGATGAGGGA</t>
  </si>
  <si>
    <t>D3-DAP10</t>
  </si>
  <si>
    <t>A9</t>
  </si>
  <si>
    <t>CGTCTCACTGCCTGTGCGCCAGGCCCAGAAGGAGCCCCGCCCAGGAGGACGGAAAAGTGTACATAAACATGCCCGGCAGGGGCGGATCCGGAGACGGGTTGCTGGCAAGGAGGTCAATTGCAACTTGACACAAGACCCGAATAGCTCGCCCTCAGGCCTCCAATATGATAGCGCAGGCATTACCCTGCTTTACGCTTAGAGGATCCAAGTTCGCGTCGTTTCATATCGACCGCTATGTGTATTGTAGGTTGGGCAGCTCATCACGCCGTGCAAGTCGATAACTTGCATCTGCATATATAC</t>
  </si>
  <si>
    <t>CAATCCGCCCTCACTACAACCGCGTCTCACTGCCTGTGCGCCAGGCCCAGAAGGAGCCCCGCCCAGGAGGACGGAAAAGTGTACATAAACATGCCCGGCAGGGGCGGATCCGGAGACGGGTTGCTGGCAAGGAGGTCAATTGCAACTTGACACAAGACCCGAATAGCTCGCCCTCAGGCCTCCAATATGATAGCGCAGGCATTACCCTGCTTTACGCTTAGAGGATCCAAGTTCGCGTCGTTTCATATCGACCGCTATGTGTATTGTAGGTTGGGCAGCTCATCACGCCGTGCAAGTCGATAACTTGCATCTGCATATATACCTACTCTGGCGTCGATGAGGGA</t>
  </si>
  <si>
    <t>D3-NKG2D</t>
  </si>
  <si>
    <t>B9</t>
  </si>
  <si>
    <t>CGTCTCACTGCATCTGGAGCGCCGTGTTCCTGAACAGCCTGTTCAACCAGGAGGTGCAGATCCCCCTGACCGAGAGCTACTGCGGCCCCTGCCCCAAGAACTGGATCTGCTACAAGAACAACTGCTACCAGTTCTTCGACGAGAGCAAGAACTGGTACGAGAGCCAGGCCAGCTGCATGAGCCAGAACGCCAGCCTGCTGAAGGTGTACAGCAAGGAGGACCAGGACCTGCTGAAGCTGGTGAAGAGCTACCACTGGATGGGCCTGGTGCACATCCCCACCAACGGCAGCTGGCAGTGGGAGGACGGCAGCATCCTGAGCCCCAACCTGCTGACCATCATCGAGATGCAGAAGGGCGACTGCGCCCTGTACGCCAGCAGCTTCAAGGGCTACATCGAGAACTGCAGCACCCCCAACACCTACATCTGCATGCAGAGGACCGTGGGATCCGGAGACG</t>
  </si>
  <si>
    <t>CAATCCGCCCTCACTACAACCGCGTCTCACTGCATCTGGAGCGCCGTGTTCCTGAACAGCCTGTTCAACCAGGAGGTGCAGATCCCCCTGACCGAGAGCTACTGCGGCCCCTGCCCCAAGAACTGGATCTGCTACAAGAACAACTGCTACCAGTTCTTCGACGAGAGCAAGAACTGGTACGAGAGCCAGGCCAGCTGCATGAGCCAGAACGCCAGCCTGCTGAAGGTGTACAGCAAGGAGGACCAGGACCTGCTGAAGCTGGTGAAGAGCTACCACTGGATGGGCCTGGTGCACATCCCCACCAACGGCAGCTGGCAGTGGGAGGACGGCAGCATCCTGAGCCCCAACCTGCTGACCATCATCGAGATGCAGAAGGGCGACTGCGCCCTGTACGCCAGCAGCTTCAAGGGCTACATCGAGAACTGCAGCACCCCCAACACCTACATCTGCATGCAGAGGACCGTGGGATCCGGAGACGCTACTCTGGCGTCGATGAGGGA</t>
  </si>
  <si>
    <t>D3-CD32A</t>
  </si>
  <si>
    <t>C9</t>
  </si>
  <si>
    <t>CGTCTCACTGCTGCAGGAAGAAGAGGATCAGCGCCAACAGCACCGACCCCGTGAAGGCCGCCCAGTTCGAGCCCCCCGGCAGACAGATGATCGCCATCAGGAAGAGGCAGCTGGAGGAGACCAACAACGACTACGAAACCGCCGACGGCGGCTACATGACCCTGAACCCCAGGGCCCCCACCGACGACGACAAGAACATCTACCTGACCCTGCCCCCCAACGACCACGTGAACAGCAACAACGGATCCGGAGACGAGTCCACCACCTGCCTACTAACTCTCAGTAGTCGCTGACCATACA</t>
  </si>
  <si>
    <t>CAATCCGCCCTCACTACAACCGCGTCTCACTGCTGCAGGAAGAAGAGGATCAGCGCCAACAGCACCGACCCCGTGAAGGCCGCCCAGTTCGAGCCCCCCGGCAGACAGATGATCGCCATCAGGAAGAGGCAGCTGGAGGAGACCAACAACGACTACGAAACCGCCGACGGCGGCTACATGACCCTGAACCCCAGGGCCCCCACCGACGACGACAAGAACATCTACCTGACCCTGCCCCCCAACGACCACGTGAACAGCAACAACGGATCCGGAGACGAGTCCACCACCTGCCTACTAACTCTCAGTAGTCGCTGACCATACACTACTCTGGCGTCGATGAGGGA</t>
  </si>
  <si>
    <t>D4-CD40</t>
  </si>
  <si>
    <t>D9</t>
  </si>
  <si>
    <t>CGTCTCAATCCAAGAAGGTGGCCAAGAAGCCAACCAATAAGGCCCCCCACCCCAAGCAGGAACCCCAGGAGATCAATTTTCCCGACGATCTTCCTGGCTCCAACACTGCTGCTCCAGTGCAGGAGACTTTACATGGATGCCAACCGGTCACCCAGGAGGATGGCAAAGAGAGTCGCATCTCAGTGCAGGAGAGACAGGGAAGTGGAGACGCAGCTTTCTCCGACACTAGGCATGATCTTCACATCGATGCTCCTGGCAAAGGAAGTTGCACATACCAACTCACGCCCGATCATTCGACTT</t>
  </si>
  <si>
    <t>CAATCCGCCCTCACTACAACCGCGTCTCAATCCAAGAAGGTGGCCAAGAAGCCAACCAATAAGGCCCCCCACCCCAAGCAGGAACCCCAGGAGATCAATTTTCCCGACGATCTTCCTGGCTCCAACACTGCTGCTCCAGTGCAGGAGACTTTACATGGATGCCAACCGGTCACCCAGGAGGATGGCAAAGAGAGTCGCATCTCAGTGCAGGAGAGACAGGGAAGTGGAGACGCAGCTTTCTCCGACACTAGGCATGATCTTCACATCGATGCTCCTGGCAAAGGAAGTTGCACATACCAACTCACGCCCGATCATTCGACTTCTACTCTGGCGTCGATGAGGGA</t>
  </si>
  <si>
    <t>D4-TRIF</t>
  </si>
  <si>
    <t>E9</t>
  </si>
  <si>
    <t>CGTCTCAATCCGGATCAATAAGAACTTTGCAATCCAATCTTGGGTGTCTTCCGCCGTCATCAGCTCTTCCTTCTGGTACAAGATCCTTACCTAGACCTATTGATGGAGTTTCAGATTGGTCCCAAGGATGTTCACTCCGAAGTACTGGAAGTCCGGCTAGTCTTGCTTCTAATCTCGAAATTTCTCAATCTCCTACGATGCCGTTCTTGTCCTTGCATCGGTCACCACATGGACCGAGTAAATTGTGTGATGATCCACAAGCTAGTCTCGTTCCTGAACCTGTCCCGGGCGGGTGTCAAGAACCTGAAGAAATGAGTTGGCCACCTAGTGGGGAAATAGCATCCCCACCTGAATTGCCATCTTCTCCACCACCTGGTTTACCTGAAGTCGCACCGGATGCAACTTCAACTGGATTGCCAGATACTCCAGCTGCACCTGAAACTAGTACTAATTATCCTGTAGAATGTACGGAAGGGTCTGCTGGACCTCAATCTCTTCCACTTCCAATTTTGGAACCTGTGAAGAATCCTTGTTCTGTTAAAGATCAAACTCCTCTCCAATTGTCCGTCGAAGATACTACATCACCTAATACAAAACCATGTCCACCAACGCCGACGACACCGGAAACGAGTCCACCACCACCACCACCACCACCTAGCAGCACCCCCTGCAGCGCCCACCTGACCCCCAGCAGCCTGTTCCCCAGCAGCCTGGAGGGAAGTGGAGACG</t>
  </si>
  <si>
    <t>CAATCCGCCCTCACTACAACCGCGTCTCAATCCGGATCAATAAGAACTTTGCAATCCAATCTTGGGTGTCTTCCGCCGTCATCAGCTCTTCCTTCTGGTACAAGATCCTTACCTAGACCTATTGATGGAGTTTCAGATTGGTCCCAAGGATGTTCACTCCGAAGTACTGGAAGTCCGGCTAGTCTTGCTTCTAATCTCGAAATTTCTCAATCTCCTACGATGCCGTTCTTGTCCTTGCATCGGTCACCACATGGACCGAGTAAATTGTGTGATGATCCACAAGCTAGTCTCGTTCCTGAACCTGTCCCGGGCGGGTGTCAAGAACCTGAAGAAATGAGTTGGCCACCTAGTGGGGAAATAGCATCCCCACCTGAATTGCCATCTTCTCCACCACCTGGTTTACCTGAAGTCGCACCGGATGCAACTTCAACTGGATTGCCAGATACTCCAGCTGCACCTGAAACTAGTACTAATTATCCTGTAGAATGTACGGAAGGGTCTGCTGGACCTCAATCTCTTCCACTTCCAATTTTGGAACCTGTGAAGAATCCTTGTTCTGTTAAAGATCAAACTCCTCTCCAATTGTCCGTCGAAGATACTACATCACCTAATACAAAACCATGTCCACCAACGCCGACGACACCGGAAACGAGTCCACCACCACCACCACCACCACCTAGCAGCACCCCCTGCAGCGCCCACCTGACCCCCAGCAGCCTGTTCCCCAGCAGCCTGGAGGGAAGTGGAGACGCTACTCTGGCGTCGATGAGGGA</t>
  </si>
  <si>
    <t>D4-MEG10</t>
  </si>
  <si>
    <t>F9</t>
  </si>
  <si>
    <t>CGTCTCAATCCTACAGGCACAAGCAGAAGGGCAAGGAGAGCAGCATGCCCGCCGTGACCTACACCCCCGCCATGAGGGTGGTGAACGCCGACTACACCATCAGCGGCACCCTGCCCCACAGCAACGGCGGCAACGCCAACAGCCACTACTTCACCAACCCCAGCTACCACACCCTGACCCAGTGCGCCACCAGCCCCCACGTGAACAACAGGGACAGGATGACCGTGACCAAGAGCAAGAACAACCAGCTGTTCGTGAACCTGAAGAACGTGAACCCCGGCAAGAGGGGCCCCGTGGGCGACTGCACCGGCACCCTGCCCGCCGACTGGAAGCACGGCGGCTACCTGAACGAGCTGGGCGCCTTCGGCCTGGACAGGAGCTACATGGGCAAGAGCCTGAAGGACCTGGGCAAGAACAGCGAGTACAACAGCAGCAACTGCAGCCTGAGCAGCAGCGAGAACCCCTACGCCACCATCAAGGACCCCCCCGTGCTGATCCCCAAGAGCAGCGAGTGCGGCTACGTGGAGATGAAGAGCCCCGCCAGGAGGGACAGCCCCTACGCCGAGATCAACAACAGCACCAGCGCCAACAGGAACGTGTACGAGGTGGAGCCCACCGTGAGCGTGGTGCAGGGCGTGTTCAGCAACAACGGCAGGCTGAGCCAGGACCCCTACGACCTGCCCAAGAACAGCCACATCCCCTGCCACTACGACCTGCTGCCCGTGAGAGACAGCAGCAGCAGCCCCAAGCAGGAGGACAGCGGCGGCAGCAGCAGCAACAGCAGCAGCAGCAGCGAGGGAAGTGGAGACG</t>
  </si>
  <si>
    <t>CAATCCGCCCTCACTACAACCGCGTCTCAATCCTACAGGCACAAGCAGAAGGGCAAGGAGAGCAGCATGCCCGCCGTGACCTACACCCCCGCCATGAGGGTGGTGAACGCCGACTACACCATCAGCGGCACCCTGCCCCACAGCAACGGCGGCAACGCCAACAGCCACTACTTCACCAACCCCAGCTACCACACCCTGACCCAGTGCGCCACCAGCCCCCACGTGAACAACAGGGACAGGATGACCGTGACCAAGAGCAAGAACAACCAGCTGTTCGTGAACCTGAAGAACGTGAACCCCGGCAAGAGGGGCCCCGTGGGCGACTGCACCGGCACCCTGCCCGCCGACTGGAAGCACGGCGGCTACCTGAACGAGCTGGGCGCCTTCGGCCTGGACAGGAGCTACATGGGCAAGAGCCTGAAGGACCTGGGCAAGAACAGCGAGTACAACAGCAGCAACTGCAGCCTGAGCAGCAGCGAGAACCCCTACGCCACCATCAAGGACCCCCCCGTGCTGATCCCCAAGAGCAGCGAGTGCGGCTACGTGGAGATGAAGAGCCCCGCCAGGAGGGACAGCCCCTACGCCGAGATCAACAACAGCACCAGCGCCAACAGGAACGTGTACGAGGTGGAGCCCACCGTGAGCGTGGTGCAGGGCGTGTTCAGCAACAACGGCAGGCTGAGCCAGGACCCCTACGACCTGCCCAAGAACAGCCACATCCCCTGCCACTACGACCTGCTGCCCGTGAGAGACAGCAGCAGCAGCCCCAAGCAGGAGGACAGCGGCGGCAGCAGCAGCAACAGCAGCAGCAGCAGCGAGGGAAGTGGAGACGCTACTCTGGCGTCGATGAGGGA</t>
  </si>
  <si>
    <t>D4-MERTK</t>
  </si>
  <si>
    <t>G9</t>
  </si>
  <si>
    <t>CGTCTCAATCCAAGAGGGTGCAGGAAACCAAGTTCGGCAACGCCTTCACCGAGGAGGACAGCGAGCTGGTGGTGAACTACATCGCCAAGAAGAGCTTCTGCAGAAGGGCCATCGAGCTGACCCTGCACAGCCTGGGCGTGAGCGAGGAGCTGCAGAACAAGCTGGAGGACGTGGTGATCGACAGGAACCTGCTGATCCTGGGCAAGATCCTGGGCGAGGGCGAGTTCGGCAGCGTGATGGAGGGCAACCTGAAGCAGGAGGACGGCACCAGCCTGAAGGTGGCCGTGAAGACCATGAAGCTGGACAACAGCAGCCAGAGGGAGATCGAGGAGTTCCTGAGCGAGGCCGCCTGCATGAAGGACTTCAGCCACCCCAACGTGATCAGGCTGCTGGGCGTGTGCATCGAGATGAGCAGCCAGGGCATCCCCAAGCCCATGGTGATCCTGCCCTTCATGAAGTACGGCGACCTGCACACCTACCTGCTGTACAGCAGGCTGGAGACCGGCCCCAAGCACATCCCCCTGCAGACCCTGCTGAAGTTCATGGTGGACATCGCCCTGGGCATGGAGTACCTGAGCAACAGGAACTTCCTGCACAGGGACCTGGCCGCCAGGAACTGCATGCTGAGGGACGACATGACCGTGTGCGTGGCCGACTTCGGCCTGAGCAAGAAGATCTACAGCGGCGACTACTACAGGCAGGGCAGGATCGCCAAGATGCCCGTGAAGTGGATCGCCATCGAGAGCCTGGCCGACAGGGTGTACACCAGCAAGAGCGACGTGTGGGCCTTCGGCGTGACCATGTGGGAGATCGCCACCAGGGGCATGACCCCCTACCCCGGCGTGCAGAACCACGAGATGTACGACTACCTGCTGCACGGCCACAGGCTGAAGCAGCCCGAGGACTGCCTGGACGAGCTGTACGAGATCATGTACAGCTGCTGGAGGACCGACCCCCTGGACAGACCCACCTTCAGCGTGCTGAGGCTGCAGCTGGAGAAGCTGCTGGAGAGCCTGCCCGACGTGAGGAACCAGGCCGACGTGATCTACGTGAACACCCAGCTGCTGGAGAGCAGCGAGGGCCTGGCCCAGGGCAGCACCCTGGCCCCCCTGGACCTGAACATCGACCCCGACAGCATCATCGCCAGCTGCACCCCCAGGGCCGCCATCAGCGTGGTGACCGCCGAGGTGCACGACAGCAAGCCCCACGAGGGCAGGTACATCCTGAACGGCGGCAGCGAGGAGTGGGAGGACCTGACCAGCGCCCCCAGCGCCGCCGTGACCGCCGAGAAGAACAGCGTGCTGCCCGGCGAGAGGCTGGTGAGAAACGGCGTGAGCTGGAGCCACAGCAGCATGCTGCCCCTGGGCAGCAGCCTGCCCGACGAGCTGCTGTTCGCCGACGACAGCAGCGAGGGCAGCGAGGTGCTGATGGGAAGTGGAGACG</t>
  </si>
  <si>
    <t>CAATCCGCCCTCACTACAACCGCGTCTCAATCCAAGAGGGTGCAGGAAACCAAGTTCGGCAACGCCTTCACCGAGGAGGACAGCGAGCTGGTGGTGAACTACATCGCCAAGAAGAGCTTCTGCAGAAGGGCCATCGAGCTGACCCTGCACAGCCTGGGCGTGAGCGAGGAGCTGCAGAACAAGCTGGAGGACGTGGTGATCGACAGGAACCTGCTGATCCTGGGCAAGATCCTGGGCGAGGGCGAGTTCGGCAGCGTGATGGAGGGCAACCTGAAGCAGGAGGACGGCACCAGCCTGAAGGTGGCCGTGAAGACCATGAAGCTGGACAACAGCAGCCAGAGGGAGATCGAGGAGTTCCTGAGCGAGGCCGCCTGCATGAAGGACTTCAGCCACCCCAACGTGATCAGGCTGCTGGGCGTGTGCATCGAGATGAGCAGCCAGGGCATCCCCAAGCCCATGGTGATCCTGCCCTTCATGAAGTACGGCGACCTGCACACCTACCTGCTGTACAGCAGGCTGGAGACCGGCCCCAAGCACATCCCCCTGCAGACCCTGCTGAAGTTCATGGTGGACATCGCCCTGGGCATGGAGTACCTGAGCAACAGGAACTTCCTGCACAGGGACCTGGCCGCCAGGAACTGCATGCTGAGGGACGACATGACCGTGTGCGTGGCCGACTTCGGCCTGAGCAAGAAGATCTACAGCGGCGACTACTACAGGCAGGGCAGGATCGCCAAGATGCCCGTGAAGTGGATCGCCATCGAGAGCCTGGCCGACAGGGTGTACACCAGCAAGAGCGACGTGTGGGCCTTCGGCGTGACCATGTGGGAGATCGCCACCAGGGGCATGACCCCCTACCCCGGCGTGCAGAACCACGAGATGTACGACTACCTGCTGCACGGCCACAGGCTGAAGCAGCCCGAGGACTGCCTGGACGAGCTGTACGAGATCATGTACAGCTGCTGGAGGACCGACCCCCTGGACAGACCCACCTTCAGCGTGCTGAGGCTGCAGCTGGAGAAGCTGCTGGAGAGCCTGCCCGACGTGAGGAACCAGGCCGACGTGATCTACGTGAACACCCAGCTGCTGGAGAGCAGCGAGGGCCTGGCCCAGGGCAGCACCCTGGCCCCCCTGGACCTGAACATCGACCCCGACAGCATCATCGCCAGCTGCACCCCCAGGGCCGCCATCAGCGTGGTGACCGCCGAGGTGCACGACAGCAAGCCCCACGAGGGCAGGTACATCCTGAACGGCGGCAGCGAGGAGTGGGAGGACCTGACCAGCGCCCCCAGCGCCGCCGTGACCGCCGAGAAGAACAGCGTGCTGCCCGGCGAGAGGCTGGTGAGAAACGGCGTGAGCTGGAGCCACAGCAGCATGCTGCCCCTGGGCAGCAGCCTGCCCGACGAGCTGCTGTTCGCCGACGACAGCAGCGAGGGCAGCGAGGTGCTGATGGGAAGTGGAGACGCTACTCTGGCGTCGATGAGGGA</t>
  </si>
  <si>
    <t>D4-LY9</t>
  </si>
  <si>
    <t>H9</t>
  </si>
  <si>
    <t>CGTCTCAATCCAAGAGGAAGGGCAGGTGCAGCGTGCCCGCCTTCTGCAGCAGCCAGGCCGAGGCCCCCGCCGACACCCCCGAGCCCACCGCCGGCCACACCCTGTACAGCGTGCTGAGCCAGGGCTACGAGAAGCTGGACACCCCCCTGAGGCCCGCCAGACAGCAGCCCACCCCCACCAGCGACAGCAGCAGCGACAGCAACCTGACCACCGAGGAGGACGAGGACAGACCCGAGGTGCACAAGCCCATCAGCGGCAGGTACGAGGTGTTCGACCAGGTGACCCAGGAGGGCGCCGGCCACGACCCCGCCCCCGAGGGCCAGGCCGACTACGACCCCGTGACCCCCTACGTGACCGAGGTGGAGAGCGTGGTGGGCGAGAACACCATGTACGCCCAGGTGTTCAACCTGCAGGGCAAGACCCCCGTGAGCCAGAAGGAGGAGAGCAGCGCCACCATCTACTGTTCAATCAGGAAGCCACAGGTAGTACCACCCCCACAGCAAAACGACCTGGAGATACCCGAATCACCCACATACGAAAACTTCACAGGAAGTGGAGACG</t>
  </si>
  <si>
    <t>CAATCCGCCCTCACTACAACCGCGTCTCAATCCAAGAGGAAGGGCAGGTGCAGCGTGCCCGCCTTCTGCAGCAGCCAGGCCGAGGCCCCCGCCGACACCCCCGAGCCCACCGCCGGCCACACCCTGTACAGCGTGCTGAGCCAGGGCTACGAGAAGCTGGACACCCCCCTGAGGCCCGCCAGACAGCAGCCCACCCCCACCAGCGACAGCAGCAGCGACAGCAACCTGACCACCGAGGAGGACGAGGACAGACCCGAGGTGCACAAGCCCATCAGCGGCAGGTACGAGGTGTTCGACCAGGTGACCCAGGAGGGCGCCGGCCACGACCCCGCCCCCGAGGGCCAGGCCGACTACGACCCCGTGACCCCCTACGTGACCGAGGTGGAGAGCGTGGTGGGCGAGAACACCATGTACGCCCAGGTGTTCAACCTGCAGGGCAAGACCCCCGTGAGCCAGAAGGAGGAGAGCAGCGCCACCATCTACTGTTCAATCAGGAAGCCACAGGTAGTACCACCCCCACAGCAAAACGACCTGGAGATACCCGAATCACCCACATACGAAAACTTCACAGGAAGTGGAGACGCTACTCTGGCGTCGATGAGGGA</t>
  </si>
  <si>
    <t>D4-FCRL1</t>
  </si>
  <si>
    <t>A10</t>
  </si>
  <si>
    <t>CGTCTCAATCCGGCCTGAAGAGGAAGATCGGCAGGAGGAGCGCCAGGGACCCCCTGAGGAGCCTGCCCAGCCCCCTGCCCCAGGAGTTCACCTACCTGAACAGCCCCACCCCCGGCCAGCTGCAGCCCATCTACGAGAACGTGAACGTGGTGAGCGGCGACGAGGTGTACAGCCTGGCCTACTACAACCAGCCCGAGCAGGAGAGCGTGGCCGCCGAGACCCTGGGCACCCACATGGAGGACAAGGTGAGCCTGGACATCTACAGCAGGCTGAGGAAGGCCAACATCACCGACGTGGACTACGAGGACGCCATGGGAAGTGGAGACG</t>
  </si>
  <si>
    <t>CAATCCGCCCTCACTACAACCGCGTCTCAATCCGGCCTGAAGAGGAAGATCGGCAGGAGGAGCGCCAGGGACCCCCTGAGGAGCCTGCCCAGCCCCCTGCCCCAGGAGTTCACCTACCTGAACAGCCCCACCCCCGGCCAGCTGCAGCCCATCTACGAGAACGTGAACGTGGTGAGCGGCGACGAGGTGTACAGCCTGGCCTACTACAACCAGCCCGAGCAGGAGAGCGTGGCCGCCGAGACCCTGGGCACCCACATGGAGGACAAGGTGAGCCTGGACATCTACAGCAGGCTGAGGAAGGCCAACATCACCGACGTGGACTACGAGGACGCCATGGGAAGTGGAGACGCTACTCTGGCGTCGATGAGGGA</t>
  </si>
  <si>
    <t>D4-IL12RB1</t>
  </si>
  <si>
    <t>B10</t>
  </si>
  <si>
    <t>CGTCTCAATCCAACAGGGCCGCCAGGCACCTGTGCCCCCCCCTGCCCACCCCCTGCGCCAGCAGCGCCATCGAGTTCCCCGGCGGCAAGGAGACCTGGCAGTGGATCAACCCCGTGGACTTCCAGGAGGAGGCCAGCCTGCAGGAGGCCCTGGTGGTGGAGATGAGCTGGGACAAGGGCGAGAGGACCGAGCCCCTGGAGAAGACCGAGCTGCCCGAGGGCGCACCCGAGCTAGCACTAGATACCGAGCTATCCTTAGAAGATGGCGACAGGTGCAAAGCAAAGATGGGAAGTGGAGACG</t>
  </si>
  <si>
    <t>CAATCCGCCCTCACTACAACCGCGTCTCAATCCAACAGGGCCGCCAGGCACCTGTGCCCCCCCCTGCCCACCCCCTGCGCCAGCAGCGCCATCGAGTTCCCCGGCGGCAAGGAGACCTGGCAGTGGATCAACCCCGTGGACTTCCAGGAGGAGGCCAGCCTGCAGGAGGCCCTGGTGGTGGAGATGAGCTGGGACAAGGGCGAGAGGACCGAGCCCCTGGAGAAGACCGAGCTGCCCGAGGGCGCACCCGAGCTAGCACTAGATACCGAGCTATCCTTAGAAGATGGCGACAGGTGCAAAGCAAAGATGGGAAGTGGAGACGCTACTCTGGCGTCGATGAGGGA</t>
  </si>
  <si>
    <t>D4-NKp44</t>
  </si>
  <si>
    <t>C10</t>
  </si>
  <si>
    <t>CGTCTCAATCCTGGTGGGGCGACATCTGGTGGAAGACCATGATGGAGCTGAGGAGCCTGGACACCCAGAAGGCCACCTGCCACCTGCAGCAGGTGACCGACCTGCCCTGGACCAGCGTGAGCAGCCCCGTGGAGAGGGAGATCCTGTACCACACCGTGGCCAGGACCAAGATCAGCGACGACGACGACGAGCACACCCTGGGAAGTGGAGACGCTTTGGCCTCGTCTACCCTTCTAGACGGACGAGTAACTGCACCTAGTCATAAGCACTTAAAGGAACCGCATTGGTCTAGTCGACAGG</t>
  </si>
  <si>
    <t>CAATCCGCCCTCACTACAACCGCGTCTCAATCCTGGTGGGGCGACATCTGGTGGAAGACCATGATGGAGCTGAGGAGCCTGGACACCCAGAAGGCCACCTGCCACCTGCAGCAGGTGACCGACCTGCCCTGGACCAGCGTGAGCAGCCCCGTGGAGAGGGAGATCCTGTACCACACCGTGGCCAGGACCAAGATCAGCGACGACGACGACGAGCACACCCTGGGAAGTGGAGACGCTTTGGCCTCGTCTACCCTTCTAGACGGACGAGTAACTGCACCTAGTCATAAGCACTTAAAGGAACCGCATTGGTCTAGTCGACAGGCTACTCTGGCGTCGATGAGGGA</t>
  </si>
  <si>
    <t>D4-2B4</t>
  </si>
  <si>
    <t>D10</t>
  </si>
  <si>
    <t>CGTCTCAATCCTGGAGGAGGAAGAGGAAGGAGAAGCAGAGCGAGACCAGCCCCAAGGAGTTCCTGACCATCTACGAGGACGTGAAGGACCTGAAGACCAGGAGGAACCACGAGCAGGAGCAGACCTTCCCCGGCGGCGGCAGCACCATCTACAGCATGATCCAGAGCCAGAGCAGCGCCCCCACCAGCCAGGAGCCCGCCTACACCCTGTACAGCCTGATCCAGCCCAGCAGGAAGAGCGGCAGCAGGAAGAGGAACCACAGCCCCAGCTTCAACAGCACCATCTACGAGGTGATCGGCAAGAGCCAGCCCAAGGCCCAGAACCCCGCCAGGCTGAGCAGGAAGGAGCTGGAGAACTTCGACGTGTACAGCGGAAGTGGAGACG</t>
  </si>
  <si>
    <t>CAATCCGCCCTCACTACAACCGCGTCTCAATCCTGGAGGAGGAAGAGGAAGGAGAAGCAGAGCGAGACCAGCCCCAAGGAGTTCCTGACCATCTACGAGGACGTGAAGGACCTGAAGACCAGGAGGAACCACGAGCAGGAGCAGACCTTCCCCGGCGGCGGCAGCACCATCTACAGCATGATCCAGAGCCAGAGCAGCGCCCCCACCAGCCAGGAGCCCGCCTACACCCTGTACAGCCTGATCCAGCCCAGCAGGAAGAGCGGCAGCAGGAAGAGGAACCACAGCCCCAGCTTCAACAGCACCATCTACGAGGTGATCGGCAAGAGCCAGCCCAAGGCCCAGAACCCCGCCAGGCTGAGCAGGAAGGAGCTGGAGAACTTCGACGTGTACAGCGGAAGTGGAGACGCTACTCTGGCGTCGATGAGGGA</t>
  </si>
  <si>
    <t>D4-DAP10</t>
  </si>
  <si>
    <t>E10</t>
  </si>
  <si>
    <t>CGTCTCAATCCCTGTGCGCCAGGCCCAGAAGGAGCCCCGCCCAGGAGGACGGAAAAGTGTACATAAACATGCCCGGCAGGGGCGGAAGTGGAGACGTCGTATGGGACTGAATGAGATCCAGTCCTCCACGATTTCGTTGTCGAGTCAGGTGTCCAGGGAACTAGAACACTGGCGGTCTAGTAACTTTACTCAATGGGCTTACGGAACACCAAGGAATATGTCAGTGCCCAATCCCATGACCGGAAGTGGCCTGACCTCATTGTTCGAGTCTGAGGAGATCATCGTAATTAGATCCTCGGC</t>
  </si>
  <si>
    <t>CAATCCGCCCTCACTACAACCGCGTCTCAATCCCTGTGCGCCAGGCCCAGAAGGAGCCCCGCCCAGGAGGACGGAAAAGTGTACATAAACATGCCCGGCAGGGGCGGAAGTGGAGACGTCGTATGGGACTGAATGAGATCCAGTCCTCCACGATTTCGTTGTCGAGTCAGGTGTCCAGGGAACTAGAACACTGGCGGTCTAGTAACTTTACTCAATGGGCTTACGGAACACCAAGGAATATGTCAGTGCCCAATCCCATGACCGGAAGTGGCCTGACCTCATTGTTCGAGTCTGAGGAGATCATCGTAATTAGATCCTCGGCCTACTCTGGCGTCGATGAGGGA</t>
  </si>
  <si>
    <t>D4-NKG2D</t>
  </si>
  <si>
    <t>F10</t>
  </si>
  <si>
    <t>CGTCTCAATCCATCTGGAGCGCCGTGTTCCTGAACAGCCTGTTCAACCAGGAGGTGCAGATCCCCCTGACCGAGAGCTACTGCGGCCCCTGCCCCAAGAACTGGATCTGCTACAAGAACAACTGCTACCAGTTCTTCGACGAGAGCAAGAACTGGTACGAGAGCCAGGCCAGCTGCATGAGCCAGAACGCCAGCCTGCTGAAGGTGTACAGCAAGGAGGACCAGGACCTGCTGAAGCTGGTGAAGAGCTACCACTGGATGGGCCTGGTGCACATCCCCACCAACGGCAGCTGGCAGTGGGAGGACGGCAGCATCCTGAGCCCCAACCTGCTGACCATCATCGAGATGCAGAAGGGCGACTGCGCCCTGTACGCCAGCAGCTTCAAGGGCTACATCGAGAACTGCAGCACCCCCAACACCTACATCTGCATGCAGAGGACCGTGGGAAGTGGAGACG</t>
  </si>
  <si>
    <t>CAATCCGCCCTCACTACAACCGCGTCTCAATCCATCTGGAGCGCCGTGTTCCTGAACAGCCTGTTCAACCAGGAGGTGCAGATCCCCCTGACCGAGAGCTACTGCGGCCCCTGCCCCAAGAACTGGATCTGCTACAAGAACAACTGCTACCAGTTCTTCGACGAGAGCAAGAACTGGTACGAGAGCCAGGCCAGCTGCATGAGCCAGAACGCCAGCCTGCTGAAGGTGTACAGCAAGGAGGACCAGGACCTGCTGAAGCTGGTGAAGAGCTACCACTGGATGGGCCTGGTGCACATCCCCACCAACGGCAGCTGGCAGTGGGAGGACGGCAGCATCCTGAGCCCCAACCTGCTGACCATCATCGAGATGCAGAAGGGCGACTGCGCCCTGTACGCCAGCAGCTTCAAGGGCTACATCGAGAACTGCAGCACCCCCAACACCTACATCTGCATGCAGAGGACCGTGGGAAGTGGAGACGCTACTCTGGCGTCGATGAGGGA</t>
  </si>
  <si>
    <t>D4-CD32A</t>
  </si>
  <si>
    <t>G10</t>
  </si>
  <si>
    <t>CGTCTCAATCCTGCAGGAAGAAGAGGATCAGCGCCAACAGCACCGACCCCGTGAAGGCCGCCCAGTTCGAGCCCCCCGGCAGACAGATGATCGCCATCAGGAAGAGGCAGCTGGAGGAGACCAACAACGACTACGAAACCGCCGACGGCGGCTACATGACCCTGAACCCCAGGGCCCCCACCGACGACGACAAGAACATCTACCTGACCCTGCCCCCCAACGACCACGTGAACAGCAACAACGGAAGTGGAGACGGATCAGGTACAAGTCTCGCGCGGTACGTCGACATCTTGGTATGAT</t>
  </si>
  <si>
    <t>CAATCCGCCCTCACTACAACCGCGTCTCAATCCTGCAGGAAGAAGAGGATCAGCGCCAACAGCACCGACCCCGTGAAGGCCGCCCAGTTCGAGCCCCCCGGCAGACAGATGATCGCCATCAGGAAGAGGCAGCTGGAGGAGACCAACAACGACTACGAAACCGCCGACGGCGGCTACATGACCCTGAACCCCAGGGCCCCCACCGACGACGACAAGAACATCTACCTGACCCTGCCCCCCAACGACCACGTGAACAGCAACAACGGAAGTGGAGACGGATCAGGTACAAGTCTCGCGCGGTACGTCGACATCTTGGTATGATCTACTCTGGCGTCGATGAGGGA</t>
  </si>
  <si>
    <t>D2-D3-CD8h-CD147TM-CD147sig</t>
  </si>
  <si>
    <t>H10</t>
  </si>
  <si>
    <t>CGTCTCATAAGACCACGACGCCAGCGCCGCGACCACCAACACCGGCGCCCACCATCGCGTCGCAGCCCCTGTCCCTGCGCCCAGAGGCGTGCCGGCCAGCGGCGGGGGGCGCAGTGCACACGAGGGGGCTGGACTTCGCCTGTGATTGGCCCTTCCTGGGCATCGTGGCCGAGGTGCTGGTGCTGGTGACCATCATCTTCATCTACGAGAAGAGGAGGAAGCCCGAGGACGTGCTGGACGACGACGACGCCGGCAGCGCCCCCCTGAAGAGCAGCGGCCAGCACCAGAACGACAAGGGCAAGAACGTGAGGCAGAGGAACAGCAGCGGATCCGGAGACG</t>
  </si>
  <si>
    <t>CAATCCGCCCTCACTACAACCGCGTCTCATAAGACCACGACGCCAGCGCCGCGACCACCAACACCGGCGCCCACCATCGCGTCGCAGCCCCTGTCCCTGCGCCCAGAGGCGTGCCGGCCAGCGGCGGGGGGCGCAGTGCACACGAGGGGGCTGGACTTCGCCTGTGATTGGCCCTTCCTGGGCATCGTGGCCGAGGTGCTGGTGCTGGTGACCATCATCTTCATCTACGAGAAGAGGAGGAAGCCCGAGGACGTGCTGGACGACGACGACGCCGGCAGCGCCCCCCTGAAGAGCAGCGGCCAGCACCAGAACGACAAGGGCAAGAACGTGAGGCAGAGGAACAGCAGCGGATCCGGAGACGCTACTCTGGCGTCGATGAGGGA</t>
  </si>
  <si>
    <t>D2-D3-CD8h-CD40TM-CD40sig</t>
  </si>
  <si>
    <t>A11</t>
  </si>
  <si>
    <t>CGTCTCATAAGACCACGACGCCAGCGCCGCGACCACCAACACCGGCGCCCACCATCGCGTCGCAGCCCCTGTCCCTGCGCCCAGAGGCGTGCCGGCCAGCGGCGGGGGGCGCAGTGCACACGAGGGGGCTGGACTTCGCCTGTGATGCCCTGGTGGTGATCCCCATCATCTTCGGCATCCTGTTCGCCATCCTGCTGGTGCTGGTGTTCATCAAGAAGGTGGCCAAGAAGCCCACCAACAAGGCCCCCCACCCCAAGCAGGAGCCCCAGGAGATCAACTTCCCCGACGACCTGCCCGGCAGCAACACCGCCGCCCCCGTGCAGGAGACCCTGCACGGCTGCCAGCCCGTGACCCAGGAGGACGGCAAGGAGAGCAGAATCAGCGTGCAGGAGAGGCAGGGATCCGGAGACG</t>
  </si>
  <si>
    <t>CAATCCGCCCTCACTACAACCGCGTCTCATAAGACCACGACGCCAGCGCCGCGACCACCAACACCGGCGCCCACCATCGCGTCGCAGCCCCTGTCCCTGCGCCCAGAGGCGTGCCGGCCAGCGGCGGGGGGCGCAGTGCACACGAGGGGGCTGGACTTCGCCTGTGATGCCCTGGTGGTGATCCCCATCATCTTCGGCATCCTGTTCGCCATCCTGCTGGTGCTGGTGTTCATCAAGAAGGTGGCCAAGAAGCCCACCAACAAGGCCCCCCACCCCAAGCAGGAGCCCCAGGAGATCAACTTCCCCGACGACCTGCCCGGCAGCAACACCGCCGCCCCCGTGCAGGAGACCCTGCACGGCTGCCAGCCCGTGACCCAGGAGGACGGCAAGGAGAGCAGAATCAGCGTGCAGGAGAGGCAGGGATCCGGAGACGCTACTCTGGCGTCGATGAGGGA</t>
  </si>
  <si>
    <t>HA-hZBTB32-HDR(BsmBI)</t>
  </si>
  <si>
    <t>B11</t>
  </si>
  <si>
    <t>CGTCTCACACCTGATTTCCATTCTCTCGCCACCATGCCTACCTGCTATGATTCTGGATAAGCTCCAATCCTCTCTTGGGTTACTTTATTTGCTCACTCAGGACAGAGGGCTCTGATCTAGGACCAGCAACTCACACCCTCTCCCCTCACATCCACAGGCTTGAAATGAGATGAGATGTTCCTCCCTCCCCTTTCAACCATGGACCTCACACTGTGGACTTCCTCTTAGAGCCTCTGAGTTAGGTACCCAAGCCAAGGCACAGGAGACGAAGGGAGATATCTTCTAGACGTCTCCATGTCCCTGCCCCCCATAAGACTGCCCAGCCCCTATGGCTCTGATCGGCTGGTACAGCTAGCAGCCAGGCTCCGGCCAGCACTCTGTGATACTCTGATCACCGTAGGGAGCCAGGAGTTCCCCGCCCACAGCCTGGTGCTAGCAGGTGTCAGCCAGCAGCTGGGCCGCAGGGGCCAGTGGGCTCTGGGAGAAGGCATCAGCCCTTCTACCTTTGCCCAGCTCCTGAACTTTGTGTATGGGGAGAGTGTAGCTCGGGAGACG</t>
  </si>
  <si>
    <t>CAATCCGCCCTCACTACAACCGCGTCTCACACCTGATTTCCATTCTCTCGCCACCATGCCTACCTGCTATGATTCTGGATAAGCTCCAATCCTCTCTTGGGTTACTTTATTTGCTCACTCAGGACAGAGGGCTCTGATCTAGGACCAGCAACTCACACCCTCTCCCCTCACATCCACAGGCTTGAAATGAGATGAGATGTTCCTCCCTCCCCTTTCAACCATGGACCTCACACTGTGGACTTCCTCTTAGAGCCTCTGAGTTAGGTACCCAAGCCAAGGCACAGGAGACGAAGGGAGATATCTTCTAGACGTCTCCATGTCCCTGCCCCCCATAAGACTGCCCAGCCCCTATGGCTCTGATCGGCTGGTACAGCTAGCAGCCAGGCTCCGGCCAGCACTCTGTGATACTCTGATCACCGTAGGGAGCCAGGAGTTCCCCGCCCACAGCCTGGTGCTAGCAGGTGTCAGCCAGCAGCTGGGCCGCAGGGGCCAGTGGGCTCTGGGAGAAGGCATCAGCCCTTCTACCTTTGCCCAGCTCCTGAACTTTGTGTATGGGGAGAGTGTAGCTCGGGAGACGCTACTCTGGCGTCGATGAGGGA</t>
  </si>
  <si>
    <t>HA-VPR-G4S</t>
  </si>
  <si>
    <t>C11</t>
  </si>
  <si>
    <t>CGTCTCCCACAATGGACGCATTGGACGATTTTGATCTGGATATGCTGGGAAGTGACGCCCTCGATGATTTTGACCTTGACATGCTTGGTTCGGATGCCCTTGATGACTTTGACCTCGACATGCTCGGCAGTGACGCCCTTGATGATTTCGACCTGGACATGCTGATTAACTCTAGAAGTTCCGGATCTCCGAAAAAGAAACGCAAAGTTGGTAGCCAGTACCTGCCCGACACCGACGACCGGCACCGGATCGAGGAAAAGCGGAAGCGGACCTACGAGACATTCAAGAGCATCATGAAGAAGTCCCCCTTCAGCGGCCCCACCGACCCTAGACCTCCACCTAGAAGAATCGCCGTGCCCAGCAGATCCAGCGCCAGCGTGCCAAAACCTGCCCCCCAGCCTTACCCCTTCACCAGCAGCCTGAGCACCATCAACTACGACGAGTTCCCTACCATGGTGTTCCCCAGCGGCCAGATCTCTCAGGCCTCTGCTCTGGCTCCAGCCCCTCCTCAGGTGCTGCCTCAGGCTCCTGCTCCTGCACCAGCTCCAGCCATGGTGTCTGCACTGGCTCAGGCACCAGCACCCGTGCCTGTGCTGGCTCCTGGACCTCCACAGGCTGTGGCTCCACCAGCCCCTAAACCTACACAGGCCGGCGAGGGCACACTGTCTGAAGCTCTGCTGCAGCTGCAGTTCGACGACGAGGATCTGGGAGCCCTGCTGGGAAACAGCACCGATCCTGCCGTGTTCACCGACCTGGCCAGCGTGGACAACAGCGAGTTCCAGCAGCTGCTGAACCAGGGCATCCCTGTGGCCCCTCACACCACCGAGCCCATGCTGATGGAATACCCCGAGGCCATCACCCGGCTCGTGACAGGCGCTCAGAGGCCTCCTGATCCAGCTCCTGCCCCTCTGGGAGCACCAGGCCTGCCTAATGGACTGCTGTCTGGCGACGAGGACTTCAGCTCTATCGCCGATATGGATTTCTCAGCCTTGCTGGGCTCTGGCAGCGGCAGC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A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GGAGGAGGCGGATCCGGAGGCGGTGGATCTGGAGGCGGTGGATCCGGAGGCGGTGGATCTATGTGGAGACG</t>
  </si>
  <si>
    <t>CAATCCGCCCTCACTACAACCGCGTCTCCCACAATGGACGCATTGGACGATTTTGATCTGGATATGCTGGGAAGTGACGCCCTCGATGATTTTGACCTTGACATGCTTGGTTCGGATGCCCTTGATGACTTTGACCTCGACATGCTCGGCAGTGACGCCCTTGATGATTTCGACCTGGACATGCTGATTAACTCTAGAAGTTCCGGATCTCCGAAAAAGAAACGCAAAGTTGGTAGCCAGTACCTGCCCGACACCGACGACCGGCACCGGATCGAGGAAAAGCGGAAGCGGACCTACGAGACATTCAAGAGCATCATGAAGAAGTCCCCCTTCAGCGGCCCCACCGACCCTAGACCTCCACCTAGAAGAATCGCCGTGCCCAGCAGATCCAGCGCCAGCGTGCCAAAACCTGCCCCCCAGCCTTACCCCTTCACCAGCAGCCTGAGCACCATCAACTACGACGAGTTCCCTACCATGGTGTTCCCCAGCGGCCAGATCTCTCAGGCCTCTGCTCTGGCTCCAGCCCCTCCTCAGGTGCTGCCTCAGGCTCCTGCTCCTGCACCAGCTCCAGCCATGGTGTCTGCACTGGCTCAGGCACCAGCACCCGTGCCTGTGCTGGCTCCTGGACCTCCACAGGCTGTGGCTCCACCAGCCCCTAAACCTACACAGGCCGGCGAGGGCACACTGTCTGAAGCTCTGCTGCAGCTGCAGTTCGACGACGAGGATCTGGGAGCCCTGCTGGGAAACAGCACCGATCCTGCCGTGTTCACCGACCTGGCCAGCGTGGACAACAGCGAGTTCCAGCAGCTGCTGAACCAGGGCATCCCTGTGGCCCCTCACACCACCGAGCCCATGCTGATGGAATACCCCGAGGCCATCACCCGGCTCGTGACAGGCGCTCAGAGGCCTCCTGATCCAGCTCCTGCCCCTCTGGGAGCACCAGGCCTGCCTAATGGACTGCTGTCTGGCGACGAGGACTTCAGCTCTATCGCCGATATGGATTTCTCAGCCTTGCTGGGCTCTGGCAGCGGCAGC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A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GGAGGAGGCGGATCCGGAGGCGGTGGATCTGGAGGCGGTGGATCCGGAGGCGGTGGATCTATGTGGAGACGCTACTCTGGCGTCGATGAGGGA</t>
  </si>
  <si>
    <t>HA-VP64-G4S</t>
  </si>
  <si>
    <t>D11</t>
  </si>
  <si>
    <t>CGTCTCCCACAATGGACGCATTGGACGATTTTGATCTGGATATGCTGGGAAGTGACGCCCTCGATGATTTTGACCTTGACATGCTTGGTTCGGATGCCCTTGATGACTTTGACCTCGACATGCTCGGCAGTGACGCCCTTGATGATTTCGACCTGGACATGCTGATTAACTCTAGAAGTTCCGGATCTCCGAAAAAGAAACGCAAAGTTGGAGGAGGCGGATCCGGAGGCGGTGGATCTGGAGGCGGTGGATCCGGAGGCGGTGGATCTATGTGGAGACGGTTGTTGAGGAACCGCTTGA</t>
  </si>
  <si>
    <t>CAATCCGCCCTCACTACAACCGCGTCTCCCACAATGGACGCATTGGACGATTTTGATCTGGATATGCTGGGAAGTGACGCCCTCGATGATTTTGACCTTGACATGCTTGGTTCGGATGCCCTTGATGACTTTGACCTCGACATGCTCGGCAGTGACGCCCTTGATGATTTCGACCTGGACATGCTGATTAACTCTAGAAGTTCCGGATCTCCGAAAAAGAAACGCAAAGTTGGAGGAGGCGGATCCGGAGGCGGTGGATCTGGAGGCGGTGGATCCGGAGGCGGTGGATCTATGTGGAGACGGTTGTTGAGGAACCGCTTGACTACTCTGGCGTCGATGAGGGA</t>
  </si>
  <si>
    <t>D1-CD8SP-TP1107-FLAG</t>
  </si>
  <si>
    <t>E11</t>
  </si>
  <si>
    <t>CGTCTCACACCATGGCCTTACCAGTGACCGCCTTGCTCCTGCCGCTGGCCTTGCTGCTCCACGCCGCCAGGCCGCAGGTGCAGCTGGTGGAGAGCGGCGGCGGCCTGGTGCAGCCCGGCGGCAGCCTGAGGCTGAGCTGCGCCGCCAGCGGCTTCACCTTCAGCGACACCTGGATGAACTGGGTGAGGCAGGCCCCCGGCAAGGGCCTGTACTGGATCAGCGCCATCAACCCCGACGGCGGCAACACCGCCTACGCCGACAGCGTGAAGGGCAGGTTCACCATCAGCAGGGACAACGCCAAGAACATGGTGTACCTGCAGATGGACAACCTGAGGCCCGAGGACACCGCCATGTACTACTGCGCCAAGGGCTGGGTGAGGCTGCCCGACCCCGACCTGGTGAGGGGCCAGGGCACCCAGGTGACCGTGAGCAGCGATTACAAGGACGACGATGATAAGGGAGACG</t>
  </si>
  <si>
    <t>CAATCCGCCCTCACTACAACCGCGTCTCACACCATGGCCTTACCAGTGACCGCCTTGCTCCTGCCGCTGGCCTTGCTGCTCCACGCCGCCAGGCCGCAGGTGCAGCTGGTGGAGAGCGGCGGCGGCCTGGTGCAGCCCGGCGGCAGCCTGAGGCTGAGCTGCGCCGCCAGCGGCTTCACCTTCAGCGACACCTGGATGAACTGGGTGAGGCAGGCCCCCGGCAAGGGCCTGTACTGGATCAGCGCCATCAACCCCGACGGCGGCAACACCGCCTACGCCGACAGCGTGAAGGGCAGGTTCACCATCAGCAGGGACAACGCCAAGAACATGGTGTACCTGCAGATGGACAACCTGAGGCCCGAGGACACCGCCATGTACTACTGCGCCAAGGGCTGGGTGAGGCTGCCCGACCCCGACCTGGTGAGGGGCCAGGGCACCCAGGTGACCGTGAGCAGCGATTACAAGGACGACGATGATAAGGGAGACGCTACTCTGGCGTCGATGAGGGA</t>
  </si>
  <si>
    <t>D2-D3-CD8h-CD89TM-CD89sig</t>
  </si>
  <si>
    <t>CGTCTCATAAGACCACGACGCCAGCGCCGCGACCACCAACACCGGCGCCCACCATCGCGTCGCAGCCCCTGTCCCTGCGCCCAGAGGCGTGCCGGCCAGCGGCGGGGGGCGCAGTGCACACGAGGGGGCTGGACTTCGCCTGTGATCTGATCAGGATGGCCGTGGCCGGCCTGGTGCTGGTGGCCCTGCTGGCCATCCTGGTGGAGAACTGGCACAGCCACACCGCCCTGAACAAGGAGGCCAGCGCCGACGTGGCCGAGCCCAGCTGGAGCCAGCAGATGTGCCAGCCAGGCCTGACATTCGCAAGGACACCAAGCGTGTGTAAAGGATCCGGAGACG</t>
  </si>
  <si>
    <t>CAATCCGCCCTCACTACAACCGCGTCTCATAAGACCACGACGCCAGCGCCGCGACCACCAACACCGGCGCCCACCATCGCGTCGCAGCCCCTGTCCCTGCGCCCAGAGGCGTGCCGGCCAGCGGCGGGGGGCGCAGTGCACACGAGGGGGCTGGACTTCGCCTGTGATCTGATCAGGATGGCCGTGGCCGGCCTGGTGCTGGTGGCCCTGCTGGCCATCCTGGTGGAGAACTGGCACAGCCACACCGCCCTGAACAAGGAGGCCAGCGCCGACGTGGCCGAGCCCAGCTGGAGCCAGCAGATGTGCCAGCCAGGCCTGACATTCGCAAGGACACCAAGCGTGTGTAAAGGATCCGGAGACGCTACTCTGGCGTCGATGAGGGA</t>
  </si>
  <si>
    <t>D2-CD8h-CD147TM</t>
  </si>
  <si>
    <t>G11</t>
  </si>
  <si>
    <t>CGTCTCATAAGACCACGACGCCAGCGCCGCGACCACCAACACCGGCGCCCACCATCGCGTCGCAGCCCCTGTCCCTGCGCCCAGAGGCGTGCCGGCCAGCGGCGGGGGGCGCAGTGCACACGAGGGGGCTGGACTTCGCCTGTGATTGGCCCTTCCTGGGCATCGTGGCCGAGGTGCTGGTGCTGGTGACCATCATCTTCATCGCCTGCGGAGACGGACCAAGATCTGTTTAGCAACTAGTGTATCGGAAAGGCTACAGCCTTGCATACGCCTATAGAGGAGCCTCTCCAGCGCAATAGC</t>
  </si>
  <si>
    <t>CAATCCGCCCTCACTACAACCGCGTCTCATAAGACCACGACGCCAGCGCCGCGACCACCAACACCGGCGCCCACCATCGCGTCGCAGCCCCTGTCCCTGCGCCCAGAGGCGTGCCGGCCAGCGGCGGGGGGCGCAGTGCACACGAGGGGGCTGGACTTCGCCTGTGATTGGCCCTTCCTGGGCATCGTGGCCGAGGTGCTGGTGCTGGTGACCATCATCTTCATCGCCTGCGGAGACGGACCAAGATCTGTTTAGCAACTAGTGTATCGGAAAGGCTACAGCCTTGCATACGCCTATAGAGGAGCCTCTCCAGCGCAATAGCCTACTCTGGCGTCGATGAGGGA</t>
  </si>
  <si>
    <t>D2-CD8h-CD40TM</t>
  </si>
  <si>
    <t>H11</t>
  </si>
  <si>
    <t>CGTCTCATAAGACCACGACGCCAGCGCCGCGACCACCAACACCGGCGCCCACCATCGCGTCGCAGCCCCTGTCCCTGCGCCCAGAGGCGTGCCGGCCAGCGGCGGGGGGCGCAGTGCACACGAGGGGGCTGGACTTCGCCTGTGATGCCCTGGTGGTGATCCCCATCATCTTCGGCATCCTGTTCGCCATCCTGCTGGTGCTGGTGTTCATCGCCTGCGGAGACGGTAAACAATGCAGCAGTGCCTAAGCCTTGCATAGTCAAAGTGTCCTAAACCAATCCTGCCTGTCGTGCAGCGACC</t>
  </si>
  <si>
    <t>CAATCCGCCCTCACTACAACCGCGTCTCATAAGACCACGACGCCAGCGCCGCGACCACCAACACCGGCGCCCACCATCGCGTCGCAGCCCCTGTCCCTGCGCCCAGAGGCGTGCCGGCCAGCGGCGGGGGGCGCAGTGCACACGAGGGGGCTGGACTTCGCCTGTGATGCCCTGGTGGTGATCCCCATCATCTTCGGCATCCTGTTCGCCATCCTGCTGGTGCTGGTGTTCATCGCCTGCGGAGACGGTAAACAATGCAGCAGTGCCTAAGCCTTGCATAGTCAAAGTGTCCTAAACCAATCCTGCCTGTCGTGCAGCGACCCTACTCTGGCGTCGATGAGGGA</t>
  </si>
  <si>
    <t>D2-CD8h-LY9TM</t>
  </si>
  <si>
    <t>A12</t>
  </si>
  <si>
    <t>CGTCTCATAAGACCACGACGCCAGCGCCGCGACCACCAACACCGGCGCCCACCATCGCGTCGCAGCCCCTGTCCCTGCGCCCAGAGGCGTGCCGGCCAGCGGCGGGGGGCGCAGTGCACACGAGGGGGCTGGACTTCGCCTGTGATCTGTGGATCGGCCTGTTCCTGATGGTGTGCCTGCTGTGCGTGGGCATCTTCAGCTGGTGCATCTGGGCCTGCGGAGACGTCGGTTAATGAACATAGCGCGGTCCAGTATCCTGAGAACTGTCTGATGGGTTACCCGTTAGAGCATCTCGACGAC</t>
  </si>
  <si>
    <t>CAATCCGCCCTCACTACAACCGCGTCTCATAAGACCACGACGCCAGCGCCGCGACCACCAACACCGGCGCCCACCATCGCGTCGCAGCCCCTGTCCCTGCGCCCAGAGGCGTGCCGGCCAGCGGCGGGGGGCGCAGTGCACACGAGGGGGCTGGACTTCGCCTGTGATCTGTGGATCGGCCTGTTCCTGATGGTGTGCCTGCTGTGCGTGGGCATCTTCAGCTGGTGCATCTGGGCCTGCGGAGACGTCGGTTAATGAACATAGCGCGGTCCAGTATCCTGAGAACTGTCTGATGGGTTACCCGTTAGAGCATCTCGACGACCTACTCTGGCGTCGATGAGGGA</t>
  </si>
  <si>
    <t>D2-CD8h-FCRL1TM</t>
  </si>
  <si>
    <t>B12</t>
  </si>
  <si>
    <t>CGTCTCATAAGACCACGACGCCAGCGCCGCGACCACCAACACCGGCGCCCACCATCGCGTCGCAGCCCCTGTCCCTGCGCCCAGAGGCGTGCCGGCCAGCGGCGGGGGGCGCAGTGCACACGAGGGGGCTGGACTTCGCCTGTGATGGCGTGATCGAGGGCCTGCTGAGCACCCTGGGCCCCGCCACCGTGGCCCTACTATTTTGCTATGCCTGCGGAGACGTAGCTTCTCGTAACGGGTTTCAGTAATGGTAGTGGGAACCGCATGCTCTGGCATGGGTATTCGTGCGGACAAACGATA</t>
  </si>
  <si>
    <t>CAATCCGCCCTCACTACAACCGCGTCTCATAAGACCACGACGCCAGCGCCGCGACCACCAACACCGGCGCCCACCATCGCGTCGCAGCCCCTGTCCCTGCGCCCAGAGGCGTGCCGGCCAGCGGCGGGGGGCGCAGTGCACACGAGGGGGCTGGACTTCGCCTGTGATGGCGTGATCGAGGGCCTGCTGAGCACCCTGGGCCCCGCCACCGTGGCCCTACTATTTTGCTATGCCTGCGGAGACGTAGCTTCTCGTAACGGGTTTCAGTAATGGTAGTGGGAACCGCATGCTCTGGCATGGGTATTCGTGCGGACAAACGATACTACTCTGGCGTCGATGAGGGA</t>
  </si>
  <si>
    <t>D2-CD8h-IL12RB1TM</t>
  </si>
  <si>
    <t>C12</t>
  </si>
  <si>
    <t>CGTCTCATAAGACCACGACGCCAGCGCCGCGACCACCAACACCGGCGCCCACCATCGCGTCGCAGCCCCTGTCCCTGCGCCCAGAGGCGTGCCGGCCAGCGGCGGGGGGCGCAGTGCACACGAGGGGGCTGGACTTCGCCTGTGATTGGCTGATCTTCTTCGCCAGCCTGGGCAGCTTCCTGAGCATCCTGCTGGTGGGCGTGCTGGGCTACCTGGGCCTGGCCTGCGGAGACGCCGAGTATTATCATCTCCCTAGGAGTCGTCGGCTTCTAAATCAGCCTTGTTAGACTGGACGCACGA</t>
  </si>
  <si>
    <t>CAATCCGCCCTCACTACAACCGCGTCTCATAAGACCACGACGCCAGCGCCGCGACCACCAACACCGGCGCCCACCATCGCGTCGCAGCCCCTGTCCCTGCGCCCAGAGGCGTGCCGGCCAGCGGCGGGGGGCGCAGTGCACACGAGGGGGCTGGACTTCGCCTGTGATTGGCTGATCTTCTTCGCCAGCCTGGGCAGCTTCCTGAGCATCCTGCTGGTGGGCGTGCTGGGCTACCTGGGCCTGGCCTGCGGAGACGCCGAGTATTATCATCTCCCTAGGAGTCGTCGGCTTCTAAATCAGCCTTGTTAGACTGGACGCACGACTACTCTGGCGTCGATGAGGGA</t>
  </si>
  <si>
    <t>D2-CD8h-NKp44</t>
  </si>
  <si>
    <t>D12</t>
  </si>
  <si>
    <t>CGTCTCATAAGACCACGACGCCAGCGCCGCGACCACCAACACCGGCGCCCACCATCGCGTCGCAGCCCCTGTCCCTGCGCCCAGAGGCGTGCCGGCCAGCGGCGGGGGGCGCAGTGCACACGAGGGGGCTGGACTTCGCCTGTGATCTGGTGCCCGTGTTCTGCGGCCTGCTGGTGGCCAAGAGCCTGGTGCTGAGCGCACTACTAGTGGCCTGCGGAGACGGGATACTCCGCCAAGCTAATGAGTTAACGTAGCAACTAACTTGCTTGGCCAGTCGTAATGAGTCCGTCTACGGAAGGG</t>
  </si>
  <si>
    <t>CAATCCGCCCTCACTACAACCGCGTCTCATAAGACCACGACGCCAGCGCCGCGACCACCAACACCGGCGCCCACCATCGCGTCGCAGCCCCTGTCCCTGCGCCCAGAGGCGTGCCGGCCAGCGGCGGGGGGCGCAGTGCACACGAGGGGGCTGGACTTCGCCTGTGATCTGGTGCCCGTGTTCTGCGGCCTGCTGGTGGCCAAGAGCCTGGTGCTGAGCGCACTACTAGTGGCCTGCGGAGACGGGATACTCCGCCAAGCTAATGAGTTAACGTAGCAACTAACTTGCTTGGCCAGTCGTAATGAGTCCGTCTACGGAAGGGCTACTCTGGCGTCGATGAGGGA</t>
  </si>
  <si>
    <t>D2-CD8h-DAP10</t>
  </si>
  <si>
    <t>E12</t>
  </si>
  <si>
    <t>CGTCTCATAAGACCACGACGCCAGCGCCGCGACCACCAACACCGGCGCCCACCATCGCGTCGCAGCCCCTGTCCCTGCGCCCAGAGGCGTGCCGGCCAGCGGCGGGGGGCGCAGTGCACACGAGGGGGCTGGACTTCGCCTGTGATCTGCTGGCCGGCCTGGTGGCCGCCGACGCCGTGGCCAGCCTATTAATAGTGGGCGCAGTATTTGCCTGCGGAGACGACCTCTAGTCGGTTCAGCAGTTCGCTGTTTACCGTGGTAGACGCACATTATACAGCTCCCTGTGTGGTTATCAGTAGG</t>
  </si>
  <si>
    <t>CAATCCGCCCTCACTACAACCGCGTCTCATAAGACCACGACGCCAGCGCCGCGACCACCAACACCGGCGCCCACCATCGCGTCGCAGCCCCTGTCCCTGCGCCCAGAGGCGTGCCGGCCAGCGGCGGGGGGCGCAGTGCACACGAGGGGGCTGGACTTCGCCTGTGATCTGCTGGCCGGCCTGGTGGCCGCCGACGCCGTGGCCAGCCTATTAATAGTGGGCGCAGTATTTGCCTGCGGAGACGACCTCTAGTCGGTTCAGCAGTTCGCTGTTTACCGTGGTAGACGCACATTATACAGCTCCCTGTGTGGTTATCAGTAGGCTACTCTGGCGTCGATGAGGGA</t>
  </si>
  <si>
    <t>D2-CD8h-NKG2D</t>
  </si>
  <si>
    <t>F12</t>
  </si>
  <si>
    <t>CGTCTCATAAGACCACGACGCCAGCGCCGCGACCACCAACACCGGCGCCCACCATCGCGTCGCAGCCCCTGTCCCTGCGCCCAGAGGCGTGCCGGCCAGCGGCGGGGGGCGCAGTGCACACGAGGGGGCTGGACTTCGCCTGTGATCCCTTCTTCTTCTGCTGCTTCATCGCCGTGGCCATGGGCATCAGATTCATCATCATGGTGACCGCCTGCGGAGACGCATTGCCCGAAGTGAAAGAAATCCCGGACCCGAAGCAAGAACGGAGAACTCTTAGAGTCCCAGACGGTTGCATGTATT</t>
  </si>
  <si>
    <t>CAATCCGCCCTCACTACAACCGCGTCTCATAAGACCACGACGCCAGCGCCGCGACCACCAACACCGGCGCCCACCATCGCGTCGCAGCCCCTGTCCCTGCGCCCAGAGGCGTGCCGGCCAGCGGCGGGGGGCGCAGTGCACACGAGGGGGCTGGACTTCGCCTGTGATCCCTTCTTCTTCTGCTGCTTCATCGCCGTGGCCATGGGCATCAGATTCATCATCATGGTGACCGCCTGCGGAGACGCATTGCCCGAAGTGAAAGAAATCCCGGACCCGAAGCAAGAACGGAGAACTCTTAGAGTCCCAGACGGTTGCATGTATTCTACTCTGGCGTCGATGAGGGA</t>
  </si>
  <si>
    <t>F21(mod)</t>
  </si>
  <si>
    <t>G12</t>
  </si>
  <si>
    <t>GGTCTCATTTGCAAAAGCCTAGGCCTCCAAAAAAGCCTCCTCACTACTTCTGGAATAGCTCAGAGGCCGAGGCGGCCTCGGCCTCTGCATAAATAAAAAAAATTAGTCAGCCATGGGGCGGAGAATGGGCGGAACTGGGCGGAGTTAGGGGCGGGATGGCGAGACCTTTAGTTACGATGGAGGTCACAAATGATGAAACCGGATCGAGGATGGACTCATACAGGTCGAAAGCTGCGCAGGGAAGTACTCGTTAGGCAGAACCACAAACCCGGCACTTATTCACATCGTGCAATCGGCGTG</t>
  </si>
  <si>
    <t>CAATCCGCCCTCACTACAACCGGGTCTCATTTGCAAAAGCCTAGGCCTCCAAAAAAGCCTCCTCACTACTTCTGGAATAGCTCAGAGGCCGAGGCGGCCTCGGCCTCTGCATAAATAAAAAAAATTAGTCAGCCATGGGGCGGAGAATGGGCGGAACTGGGCGGAGTTAGGGGCGGGATGGCGAGACCTTTAGTTACGATGGAGGTCACAAATGATGAAACCGGATCGAGGATGGACTCATACAGGTCGAAAGCTGCGCAGGGAAGTACTCGTTAGGCAGAACCACAAACCCGGCACTTATTCACATCGTGCAATCGGCGTGCTACTCTGGCGTCGATGAGGGA</t>
  </si>
  <si>
    <t>F24</t>
  </si>
  <si>
    <t>H12</t>
  </si>
  <si>
    <t>GGTCTCAATGGGCGGAGTTAGGGGCGGGACTATGGTTGCTGACTAATTGAGATGCATGCTTTGCATACTTCTGCCTGCTGGGGAGCCTGGGGACTTTCCACACCTGGTTGCTGACTAATTGAGATGCATGCTTTGCATACTTCTGCGAGACCGCAGTACCGAATCCTGACGTCGTTCGGAGTACATCCCTTCGATGTGGAGTAAACTGATACCTTCCTTATATGTACTGCACTACGTGGTTTGGTGCCGGGAAGCCCTTACATTGTCGGTCTTACACGAGCCTTGGATCCTAATACCGCA</t>
  </si>
  <si>
    <t>CAATCCGCCCTCACTACAACCGGGTCTCAATGGGCGGAGTTAGGGGCGGGACTATGGTTGCTGACTAATTGAGATGCATGCTTTGCATACTTCTGCCTGCTGGGGAGCCTGGGGACTTTCCACACCTGGTTGCTGACTAATTGAGATGCATGCTTTGCATACTTCTGCGAGACCGCAGTACCGAATCCTGACGTCGTTCGGAGTACATCCCTTCGATGTGGAGTAAACTGATACCTTCCTTATATGTACTGCACTACGTGGTTTGGTGCCGGGAAGCCCTTACATTGTCGGTCTTACACGAGCCTTGGATCCTAATACCGCACTACTCTGGCGTCGATGAGGGA</t>
  </si>
  <si>
    <t>Conc (ng/uL)</t>
  </si>
  <si>
    <t>H2O</t>
  </si>
  <si>
    <t>Mass (0.05pmol)</t>
  </si>
  <si>
    <t>Volume</t>
  </si>
  <si>
    <t>Well</t>
  </si>
  <si>
    <t>Length(cosntruct)</t>
  </si>
  <si>
    <t>Name pSHPs0921B1498017B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</si>
</sst>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DC88-D466-304C-860A-E7936B94279A}">
  <sheetPr>
    <pageSetUpPr fitToPage="1"/>
  </sheetPr>
  <dimension ref="A1:T97"/>
  <sheetViews>
    <sheetView tabSelected="1" topLeftCell="A56" workbookViewId="0">
      <selection activeCell="F66" sqref="F66"/>
    </sheetView>
  </sheetViews>
  <sheetFormatPr baseColWidth="10" defaultRowHeight="16" x14ac:dyDescent="0.2"/>
  <cols>
    <col min="1" max="1" width="26" bestFit="1" customWidth="1"/>
    <col min="18" max="18" width="10.83203125" style="3"/>
    <col min="19" max="19" width="29.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397</v>
      </c>
      <c r="O1" s="1" t="s">
        <v>398</v>
      </c>
      <c r="P1" s="1" t="s">
        <v>399</v>
      </c>
      <c r="Q1" s="1" t="s">
        <v>400</v>
      </c>
      <c r="R1" s="2" t="s">
        <v>401</v>
      </c>
      <c r="S1" t="s">
        <v>403</v>
      </c>
      <c r="T1" t="s">
        <v>402</v>
      </c>
    </row>
    <row r="2" spans="1:20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1764</v>
      </c>
      <c r="G2" t="s">
        <v>18</v>
      </c>
      <c r="H2">
        <v>1808</v>
      </c>
      <c r="I2" t="s">
        <v>19</v>
      </c>
      <c r="J2" t="s">
        <v>19</v>
      </c>
      <c r="K2">
        <v>1743</v>
      </c>
      <c r="L2" t="s">
        <v>20</v>
      </c>
      <c r="M2" t="s">
        <v>21</v>
      </c>
      <c r="N2" s="1">
        <v>40</v>
      </c>
      <c r="O2">
        <f>K2/N2</f>
        <v>43.575000000000003</v>
      </c>
      <c r="P2">
        <f>(H2*330*2/1000)*0.05</f>
        <v>59.664000000000001</v>
      </c>
      <c r="Q2">
        <f>P2/N2</f>
        <v>1.4916</v>
      </c>
      <c r="R2" s="3" t="str">
        <f>LEFT(D2,1) &amp; TEXT(RIGHT(D2, LEN(D2)-1), "00")</f>
        <v>A01</v>
      </c>
      <c r="S2" t="s">
        <v>14</v>
      </c>
      <c r="T2">
        <v>1808</v>
      </c>
    </row>
    <row r="3" spans="1:20" x14ac:dyDescent="0.2">
      <c r="A3" t="s">
        <v>13</v>
      </c>
      <c r="B3" t="s">
        <v>49</v>
      </c>
      <c r="C3" t="s">
        <v>15</v>
      </c>
      <c r="D3" t="s">
        <v>50</v>
      </c>
      <c r="E3" t="s">
        <v>51</v>
      </c>
      <c r="F3">
        <v>336</v>
      </c>
      <c r="G3" t="s">
        <v>52</v>
      </c>
      <c r="H3">
        <v>380</v>
      </c>
      <c r="I3" t="s">
        <v>19</v>
      </c>
      <c r="J3" t="s">
        <v>19</v>
      </c>
      <c r="K3">
        <v>945</v>
      </c>
      <c r="L3" t="s">
        <v>20</v>
      </c>
      <c r="M3" t="s">
        <v>21</v>
      </c>
      <c r="N3" s="1">
        <v>10</v>
      </c>
      <c r="O3">
        <f>K3/N3</f>
        <v>94.5</v>
      </c>
      <c r="P3">
        <f>(H3*330*2/1000)*0.05</f>
        <v>12.540000000000001</v>
      </c>
      <c r="Q3">
        <f>P3/N3</f>
        <v>1.254</v>
      </c>
      <c r="R3" s="3" t="str">
        <f>LEFT(D3,1) &amp; TEXT(RIGHT(D3, LEN(D3)-1), "00")</f>
        <v>A02</v>
      </c>
      <c r="S3" t="s">
        <v>49</v>
      </c>
      <c r="T3">
        <v>380</v>
      </c>
    </row>
    <row r="4" spans="1:20" x14ac:dyDescent="0.2">
      <c r="A4" t="s">
        <v>13</v>
      </c>
      <c r="B4" t="s">
        <v>80</v>
      </c>
      <c r="C4" t="s">
        <v>15</v>
      </c>
      <c r="D4" t="s">
        <v>81</v>
      </c>
      <c r="E4" t="s">
        <v>82</v>
      </c>
      <c r="F4">
        <v>1008</v>
      </c>
      <c r="G4" t="s">
        <v>83</v>
      </c>
      <c r="H4">
        <v>1052</v>
      </c>
      <c r="I4" t="s">
        <v>19</v>
      </c>
      <c r="J4" t="s">
        <v>19</v>
      </c>
      <c r="K4">
        <v>2214</v>
      </c>
      <c r="L4" t="s">
        <v>20</v>
      </c>
      <c r="M4" t="s">
        <v>21</v>
      </c>
      <c r="N4" s="1">
        <v>25</v>
      </c>
      <c r="O4">
        <f>K4/N4</f>
        <v>88.56</v>
      </c>
      <c r="P4">
        <f>(H4*330*2/1000)*0.05</f>
        <v>34.716000000000001</v>
      </c>
      <c r="Q4">
        <f>P4/N4</f>
        <v>1.3886400000000001</v>
      </c>
      <c r="R4" s="3" t="str">
        <f>LEFT(D4,1) &amp; TEXT(RIGHT(D4, LEN(D4)-1), "00")</f>
        <v>A03</v>
      </c>
      <c r="S4" t="s">
        <v>80</v>
      </c>
      <c r="T4">
        <v>1052</v>
      </c>
    </row>
    <row r="5" spans="1:20" x14ac:dyDescent="0.2">
      <c r="A5" t="s">
        <v>13</v>
      </c>
      <c r="B5" t="s">
        <v>111</v>
      </c>
      <c r="C5" t="s">
        <v>15</v>
      </c>
      <c r="D5" t="s">
        <v>112</v>
      </c>
      <c r="E5" t="s">
        <v>113</v>
      </c>
      <c r="F5">
        <v>300</v>
      </c>
      <c r="G5" t="s">
        <v>114</v>
      </c>
      <c r="H5">
        <v>344</v>
      </c>
      <c r="I5" t="s">
        <v>19</v>
      </c>
      <c r="J5" t="s">
        <v>19</v>
      </c>
      <c r="K5">
        <v>407</v>
      </c>
      <c r="L5" t="s">
        <v>20</v>
      </c>
      <c r="M5" t="s">
        <v>21</v>
      </c>
      <c r="N5" s="1">
        <v>10</v>
      </c>
      <c r="O5">
        <f>K5/N5</f>
        <v>40.700000000000003</v>
      </c>
      <c r="P5">
        <f>(H5*330*2/1000)*0.05</f>
        <v>11.352</v>
      </c>
      <c r="Q5">
        <f>P5/N5</f>
        <v>1.1352</v>
      </c>
      <c r="R5" s="3" t="str">
        <f>LEFT(D5,1) &amp; TEXT(RIGHT(D5, LEN(D5)-1), "00")</f>
        <v>A04</v>
      </c>
      <c r="S5" t="s">
        <v>111</v>
      </c>
      <c r="T5">
        <v>344</v>
      </c>
    </row>
    <row r="6" spans="1:20" x14ac:dyDescent="0.2">
      <c r="A6" t="s">
        <v>13</v>
      </c>
      <c r="B6" t="s">
        <v>143</v>
      </c>
      <c r="C6" t="s">
        <v>15</v>
      </c>
      <c r="D6" t="s">
        <v>144</v>
      </c>
      <c r="E6" t="s">
        <v>145</v>
      </c>
      <c r="F6">
        <v>300</v>
      </c>
      <c r="G6" t="s">
        <v>146</v>
      </c>
      <c r="H6">
        <v>344</v>
      </c>
      <c r="I6" t="s">
        <v>19</v>
      </c>
      <c r="J6" t="s">
        <v>19</v>
      </c>
      <c r="K6">
        <v>573</v>
      </c>
      <c r="L6" t="s">
        <v>20</v>
      </c>
      <c r="M6" t="s">
        <v>21</v>
      </c>
      <c r="N6" s="1">
        <v>10</v>
      </c>
      <c r="O6">
        <f>K6/N6</f>
        <v>57.3</v>
      </c>
      <c r="P6">
        <f>(H6*330*2/1000)*0.05</f>
        <v>11.352</v>
      </c>
      <c r="Q6">
        <f>P6/N6</f>
        <v>1.1352</v>
      </c>
      <c r="R6" s="3" t="str">
        <f>LEFT(D6,1) &amp; TEXT(RIGHT(D6, LEN(D6)-1), "00")</f>
        <v>A05</v>
      </c>
      <c r="S6" t="s">
        <v>143</v>
      </c>
      <c r="T6">
        <v>344</v>
      </c>
    </row>
    <row r="7" spans="1:20" x14ac:dyDescent="0.2">
      <c r="A7" t="s">
        <v>13</v>
      </c>
      <c r="B7" t="s">
        <v>174</v>
      </c>
      <c r="C7" t="s">
        <v>15</v>
      </c>
      <c r="D7" t="s">
        <v>175</v>
      </c>
      <c r="E7" t="s">
        <v>176</v>
      </c>
      <c r="F7">
        <v>696</v>
      </c>
      <c r="G7" t="s">
        <v>177</v>
      </c>
      <c r="H7">
        <v>740</v>
      </c>
      <c r="I7" t="s">
        <v>19</v>
      </c>
      <c r="J7" t="s">
        <v>19</v>
      </c>
      <c r="K7">
        <v>838</v>
      </c>
      <c r="L7" t="s">
        <v>20</v>
      </c>
      <c r="M7" t="s">
        <v>21</v>
      </c>
      <c r="N7" s="1">
        <v>15</v>
      </c>
      <c r="O7">
        <f>K7/N7</f>
        <v>55.866666666666667</v>
      </c>
      <c r="P7">
        <f>(H7*330*2/1000)*0.05</f>
        <v>24.42</v>
      </c>
      <c r="Q7">
        <f>P7/N7</f>
        <v>1.6280000000000001</v>
      </c>
      <c r="R7" s="3" t="str">
        <f>LEFT(D7,1) &amp; TEXT(RIGHT(D7, LEN(D7)-1), "00")</f>
        <v>A06</v>
      </c>
      <c r="S7" t="s">
        <v>174</v>
      </c>
      <c r="T7">
        <v>740</v>
      </c>
    </row>
    <row r="8" spans="1:20" x14ac:dyDescent="0.2">
      <c r="A8" t="s">
        <v>13</v>
      </c>
      <c r="B8" t="s">
        <v>206</v>
      </c>
      <c r="C8" t="s">
        <v>15</v>
      </c>
      <c r="D8" t="s">
        <v>207</v>
      </c>
      <c r="E8" t="s">
        <v>208</v>
      </c>
      <c r="F8">
        <v>1486</v>
      </c>
      <c r="G8" t="s">
        <v>209</v>
      </c>
      <c r="H8">
        <v>1530</v>
      </c>
      <c r="I8" t="s">
        <v>19</v>
      </c>
      <c r="J8" t="s">
        <v>19</v>
      </c>
      <c r="K8">
        <v>1496</v>
      </c>
      <c r="L8" t="s">
        <v>20</v>
      </c>
      <c r="M8" t="s">
        <v>21</v>
      </c>
      <c r="N8" s="1">
        <v>40</v>
      </c>
      <c r="O8">
        <f>K8/N8</f>
        <v>37.4</v>
      </c>
      <c r="P8">
        <f>(H8*330*2/1000)*0.05</f>
        <v>50.49</v>
      </c>
      <c r="Q8">
        <f>P8/N8</f>
        <v>1.2622500000000001</v>
      </c>
      <c r="R8" s="3" t="str">
        <f>LEFT(D8,1) &amp; TEXT(RIGHT(D8, LEN(D8)-1), "00")</f>
        <v>A07</v>
      </c>
      <c r="S8" t="s">
        <v>206</v>
      </c>
      <c r="T8">
        <v>1530</v>
      </c>
    </row>
    <row r="9" spans="1:20" x14ac:dyDescent="0.2">
      <c r="A9" t="s">
        <v>13</v>
      </c>
      <c r="B9" t="s">
        <v>238</v>
      </c>
      <c r="C9" t="s">
        <v>15</v>
      </c>
      <c r="D9" t="s">
        <v>239</v>
      </c>
      <c r="E9" t="s">
        <v>240</v>
      </c>
      <c r="F9">
        <v>729</v>
      </c>
      <c r="G9" t="s">
        <v>241</v>
      </c>
      <c r="H9">
        <v>773</v>
      </c>
      <c r="I9" t="s">
        <v>19</v>
      </c>
      <c r="J9" t="s">
        <v>19</v>
      </c>
      <c r="K9">
        <v>801</v>
      </c>
      <c r="L9" t="s">
        <v>20</v>
      </c>
      <c r="M9" t="s">
        <v>21</v>
      </c>
      <c r="N9" s="1">
        <v>25</v>
      </c>
      <c r="O9">
        <f>K9/N9</f>
        <v>32.04</v>
      </c>
      <c r="P9">
        <f>(H9*330*2/1000)*0.05</f>
        <v>25.509</v>
      </c>
      <c r="Q9">
        <f>P9/N9</f>
        <v>1.0203599999999999</v>
      </c>
      <c r="R9" s="3" t="str">
        <f>LEFT(D9,1) &amp; TEXT(RIGHT(D9, LEN(D9)-1), "00")</f>
        <v>A08</v>
      </c>
      <c r="S9" t="s">
        <v>238</v>
      </c>
      <c r="T9">
        <v>773</v>
      </c>
    </row>
    <row r="10" spans="1:20" x14ac:dyDescent="0.2">
      <c r="A10" t="s">
        <v>13</v>
      </c>
      <c r="B10" t="s">
        <v>270</v>
      </c>
      <c r="C10" t="s">
        <v>15</v>
      </c>
      <c r="D10" t="s">
        <v>271</v>
      </c>
      <c r="E10" t="s">
        <v>272</v>
      </c>
      <c r="F10">
        <v>300</v>
      </c>
      <c r="G10" t="s">
        <v>273</v>
      </c>
      <c r="H10">
        <v>344</v>
      </c>
      <c r="I10" t="s">
        <v>19</v>
      </c>
      <c r="J10" t="s">
        <v>19</v>
      </c>
      <c r="K10">
        <v>940</v>
      </c>
      <c r="L10" t="s">
        <v>20</v>
      </c>
      <c r="M10" t="s">
        <v>21</v>
      </c>
      <c r="N10" s="1">
        <v>10</v>
      </c>
      <c r="O10">
        <f>K10/N10</f>
        <v>94</v>
      </c>
      <c r="P10">
        <f>(H10*330*2/1000)*0.05</f>
        <v>11.352</v>
      </c>
      <c r="Q10">
        <f>P10/N10</f>
        <v>1.1352</v>
      </c>
      <c r="R10" s="3" t="str">
        <f>LEFT(D10,1) &amp; TEXT(RIGHT(D10, LEN(D10)-1), "00")</f>
        <v>A09</v>
      </c>
      <c r="S10" t="s">
        <v>270</v>
      </c>
      <c r="T10">
        <v>344</v>
      </c>
    </row>
    <row r="11" spans="1:20" x14ac:dyDescent="0.2">
      <c r="A11" t="s">
        <v>13</v>
      </c>
      <c r="B11" t="s">
        <v>302</v>
      </c>
      <c r="C11" t="s">
        <v>15</v>
      </c>
      <c r="D11" t="s">
        <v>303</v>
      </c>
      <c r="E11" t="s">
        <v>304</v>
      </c>
      <c r="F11">
        <v>327</v>
      </c>
      <c r="G11" t="s">
        <v>305</v>
      </c>
      <c r="H11">
        <v>371</v>
      </c>
      <c r="I11" t="s">
        <v>19</v>
      </c>
      <c r="J11" t="s">
        <v>19</v>
      </c>
      <c r="K11">
        <v>691</v>
      </c>
      <c r="L11" t="s">
        <v>20</v>
      </c>
      <c r="M11" t="s">
        <v>21</v>
      </c>
      <c r="N11" s="1">
        <v>10</v>
      </c>
      <c r="O11">
        <f>K11/N11</f>
        <v>69.099999999999994</v>
      </c>
      <c r="P11">
        <f>(H11*330*2/1000)*0.05</f>
        <v>12.243000000000002</v>
      </c>
      <c r="Q11">
        <f>P11/N11</f>
        <v>1.2243000000000002</v>
      </c>
      <c r="R11" s="3" t="str">
        <f>LEFT(D11,1) &amp; TEXT(RIGHT(D11, LEN(D11)-1), "00")</f>
        <v>A10</v>
      </c>
      <c r="S11" t="s">
        <v>302</v>
      </c>
      <c r="T11">
        <v>371</v>
      </c>
    </row>
    <row r="12" spans="1:20" x14ac:dyDescent="0.2">
      <c r="A12" t="s">
        <v>13</v>
      </c>
      <c r="B12" t="s">
        <v>334</v>
      </c>
      <c r="C12" t="s">
        <v>15</v>
      </c>
      <c r="D12" t="s">
        <v>335</v>
      </c>
      <c r="E12" t="s">
        <v>336</v>
      </c>
      <c r="F12">
        <v>411</v>
      </c>
      <c r="G12" t="s">
        <v>337</v>
      </c>
      <c r="H12">
        <v>455</v>
      </c>
      <c r="I12" t="s">
        <v>19</v>
      </c>
      <c r="J12" t="s">
        <v>19</v>
      </c>
      <c r="K12">
        <v>748</v>
      </c>
      <c r="L12" t="s">
        <v>20</v>
      </c>
      <c r="M12" t="s">
        <v>21</v>
      </c>
      <c r="N12" s="1">
        <v>15</v>
      </c>
      <c r="O12">
        <f>K12/N12</f>
        <v>49.866666666666667</v>
      </c>
      <c r="P12">
        <f>(H12*330*2/1000)*0.05</f>
        <v>15.015000000000001</v>
      </c>
      <c r="Q12">
        <f>P12/N12</f>
        <v>1.0010000000000001</v>
      </c>
      <c r="R12" s="3" t="str">
        <f>LEFT(D12,1) &amp; TEXT(RIGHT(D12, LEN(D12)-1), "00")</f>
        <v>A11</v>
      </c>
      <c r="S12" t="s">
        <v>334</v>
      </c>
      <c r="T12">
        <v>455</v>
      </c>
    </row>
    <row r="13" spans="1:20" x14ac:dyDescent="0.2">
      <c r="A13" t="s">
        <v>13</v>
      </c>
      <c r="B13" t="s">
        <v>365</v>
      </c>
      <c r="C13" t="s">
        <v>15</v>
      </c>
      <c r="D13" t="s">
        <v>366</v>
      </c>
      <c r="E13" t="s">
        <v>367</v>
      </c>
      <c r="F13">
        <v>300</v>
      </c>
      <c r="G13" t="s">
        <v>368</v>
      </c>
      <c r="H13">
        <v>344</v>
      </c>
      <c r="I13" t="s">
        <v>19</v>
      </c>
      <c r="J13" t="s">
        <v>19</v>
      </c>
      <c r="K13">
        <v>524</v>
      </c>
      <c r="L13" t="s">
        <v>20</v>
      </c>
      <c r="M13" t="s">
        <v>21</v>
      </c>
      <c r="N13" s="1">
        <v>10</v>
      </c>
      <c r="O13">
        <f>K13/N13</f>
        <v>52.4</v>
      </c>
      <c r="P13">
        <f>(H13*330*2/1000)*0.05</f>
        <v>11.352</v>
      </c>
      <c r="Q13">
        <f>P13/N13</f>
        <v>1.1352</v>
      </c>
      <c r="R13" s="3" t="str">
        <f>LEFT(D13,1) &amp; TEXT(RIGHT(D13, LEN(D13)-1), "00")</f>
        <v>A12</v>
      </c>
      <c r="S13" t="s">
        <v>365</v>
      </c>
      <c r="T13">
        <v>344</v>
      </c>
    </row>
    <row r="14" spans="1:20" x14ac:dyDescent="0.2">
      <c r="A14" t="s">
        <v>13</v>
      </c>
      <c r="B14" t="s">
        <v>22</v>
      </c>
      <c r="C14" t="s">
        <v>15</v>
      </c>
      <c r="D14" t="s">
        <v>23</v>
      </c>
      <c r="E14" t="s">
        <v>24</v>
      </c>
      <c r="F14">
        <v>300</v>
      </c>
      <c r="G14" t="s">
        <v>25</v>
      </c>
      <c r="H14">
        <v>344</v>
      </c>
      <c r="I14" t="s">
        <v>19</v>
      </c>
      <c r="J14" t="s">
        <v>19</v>
      </c>
      <c r="K14">
        <v>824</v>
      </c>
      <c r="L14" t="s">
        <v>20</v>
      </c>
      <c r="M14" t="s">
        <v>21</v>
      </c>
      <c r="N14" s="1">
        <v>10</v>
      </c>
      <c r="O14">
        <f>K14/N14</f>
        <v>82.4</v>
      </c>
      <c r="P14">
        <f>(H14*330*2/1000)*0.05</f>
        <v>11.352</v>
      </c>
      <c r="Q14">
        <f>P14/N14</f>
        <v>1.1352</v>
      </c>
      <c r="R14" s="3" t="str">
        <f>LEFT(D14,1) &amp; TEXT(RIGHT(D14, LEN(D14)-1), "00")</f>
        <v>B01</v>
      </c>
      <c r="S14" t="s">
        <v>22</v>
      </c>
      <c r="T14">
        <v>344</v>
      </c>
    </row>
    <row r="15" spans="1:20" x14ac:dyDescent="0.2">
      <c r="A15" t="s">
        <v>13</v>
      </c>
      <c r="B15" t="s">
        <v>53</v>
      </c>
      <c r="C15" t="s">
        <v>15</v>
      </c>
      <c r="D15" t="s">
        <v>54</v>
      </c>
      <c r="E15" t="s">
        <v>55</v>
      </c>
      <c r="F15">
        <v>596</v>
      </c>
      <c r="G15" t="s">
        <v>56</v>
      </c>
      <c r="H15">
        <v>640</v>
      </c>
      <c r="I15" t="s">
        <v>19</v>
      </c>
      <c r="J15" t="s">
        <v>19</v>
      </c>
      <c r="K15">
        <v>660</v>
      </c>
      <c r="L15" t="s">
        <v>20</v>
      </c>
      <c r="M15" t="s">
        <v>21</v>
      </c>
      <c r="N15" s="1">
        <v>15</v>
      </c>
      <c r="O15">
        <f>K15/N15</f>
        <v>44</v>
      </c>
      <c r="P15">
        <f>(H15*330*2/1000)*0.05</f>
        <v>21.12</v>
      </c>
      <c r="Q15">
        <f>P15/N15</f>
        <v>1.4080000000000001</v>
      </c>
      <c r="R15" s="3" t="str">
        <f>LEFT(D15,1) &amp; TEXT(RIGHT(D15, LEN(D15)-1), "00")</f>
        <v>B02</v>
      </c>
      <c r="S15" t="s">
        <v>53</v>
      </c>
      <c r="T15">
        <v>640</v>
      </c>
    </row>
    <row r="16" spans="1:20" x14ac:dyDescent="0.2">
      <c r="A16" t="s">
        <v>13</v>
      </c>
      <c r="B16" t="s">
        <v>84</v>
      </c>
      <c r="C16" t="s">
        <v>15</v>
      </c>
      <c r="D16" t="s">
        <v>85</v>
      </c>
      <c r="E16" t="s">
        <v>86</v>
      </c>
      <c r="F16">
        <v>300</v>
      </c>
      <c r="G16" t="s">
        <v>87</v>
      </c>
      <c r="H16">
        <v>344</v>
      </c>
      <c r="I16" t="s">
        <v>19</v>
      </c>
      <c r="J16" t="s">
        <v>19</v>
      </c>
      <c r="K16">
        <v>861</v>
      </c>
      <c r="L16" t="s">
        <v>20</v>
      </c>
      <c r="M16" t="s">
        <v>21</v>
      </c>
      <c r="N16" s="1">
        <v>10</v>
      </c>
      <c r="O16">
        <f>K16/N16</f>
        <v>86.1</v>
      </c>
      <c r="P16">
        <f>(H16*330*2/1000)*0.05</f>
        <v>11.352</v>
      </c>
      <c r="Q16">
        <f>P16/N16</f>
        <v>1.1352</v>
      </c>
      <c r="R16" s="3" t="str">
        <f>LEFT(D16,1) &amp; TEXT(RIGHT(D16, LEN(D16)-1), "00")</f>
        <v>B03</v>
      </c>
      <c r="S16" t="s">
        <v>84</v>
      </c>
      <c r="T16">
        <v>344</v>
      </c>
    </row>
    <row r="17" spans="1:20" x14ac:dyDescent="0.2">
      <c r="A17" t="s">
        <v>13</v>
      </c>
      <c r="B17" t="s">
        <v>115</v>
      </c>
      <c r="C17" t="s">
        <v>15</v>
      </c>
      <c r="D17" t="s">
        <v>116</v>
      </c>
      <c r="E17" t="s">
        <v>117</v>
      </c>
      <c r="F17">
        <v>300</v>
      </c>
      <c r="G17" t="s">
        <v>118</v>
      </c>
      <c r="H17">
        <v>344</v>
      </c>
      <c r="I17" t="s">
        <v>19</v>
      </c>
      <c r="J17" t="s">
        <v>19</v>
      </c>
      <c r="K17">
        <v>561</v>
      </c>
      <c r="L17" t="s">
        <v>20</v>
      </c>
      <c r="M17" t="s">
        <v>21</v>
      </c>
      <c r="N17" s="1">
        <v>10</v>
      </c>
      <c r="O17">
        <f>K17/N17</f>
        <v>56.1</v>
      </c>
      <c r="P17">
        <f>(H17*330*2/1000)*0.05</f>
        <v>11.352</v>
      </c>
      <c r="Q17">
        <f>P17/N17</f>
        <v>1.1352</v>
      </c>
      <c r="R17" s="3" t="str">
        <f>LEFT(D17,1) &amp; TEXT(RIGHT(D17, LEN(D17)-1), "00")</f>
        <v>B04</v>
      </c>
      <c r="S17" t="s">
        <v>115</v>
      </c>
      <c r="T17">
        <v>344</v>
      </c>
    </row>
    <row r="18" spans="1:20" x14ac:dyDescent="0.2">
      <c r="A18" t="s">
        <v>13</v>
      </c>
      <c r="B18" t="s">
        <v>147</v>
      </c>
      <c r="C18" t="s">
        <v>15</v>
      </c>
      <c r="D18" t="s">
        <v>148</v>
      </c>
      <c r="E18" t="s">
        <v>149</v>
      </c>
      <c r="F18">
        <v>300</v>
      </c>
      <c r="G18" t="s">
        <v>150</v>
      </c>
      <c r="H18">
        <v>344</v>
      </c>
      <c r="I18" t="s">
        <v>19</v>
      </c>
      <c r="J18" t="s">
        <v>19</v>
      </c>
      <c r="K18">
        <v>492</v>
      </c>
      <c r="L18" t="s">
        <v>20</v>
      </c>
      <c r="M18" t="s">
        <v>21</v>
      </c>
      <c r="N18" s="1">
        <v>10</v>
      </c>
      <c r="O18">
        <f>K18/N18</f>
        <v>49.2</v>
      </c>
      <c r="P18">
        <f>(H18*330*2/1000)*0.05</f>
        <v>11.352</v>
      </c>
      <c r="Q18">
        <f>P18/N18</f>
        <v>1.1352</v>
      </c>
      <c r="R18" s="3" t="str">
        <f>LEFT(D18,1) &amp; TEXT(RIGHT(D18, LEN(D18)-1), "00")</f>
        <v>B05</v>
      </c>
      <c r="S18" t="s">
        <v>147</v>
      </c>
      <c r="T18">
        <v>344</v>
      </c>
    </row>
    <row r="19" spans="1:20" x14ac:dyDescent="0.2">
      <c r="A19" t="s">
        <v>13</v>
      </c>
      <c r="B19" t="s">
        <v>178</v>
      </c>
      <c r="C19" t="s">
        <v>15</v>
      </c>
      <c r="D19" t="s">
        <v>179</v>
      </c>
      <c r="E19" t="s">
        <v>180</v>
      </c>
      <c r="F19">
        <v>1647</v>
      </c>
      <c r="G19" t="s">
        <v>181</v>
      </c>
      <c r="H19">
        <v>1691</v>
      </c>
      <c r="I19" t="s">
        <v>19</v>
      </c>
      <c r="J19" t="s">
        <v>19</v>
      </c>
      <c r="K19">
        <v>1558</v>
      </c>
      <c r="L19" t="s">
        <v>20</v>
      </c>
      <c r="M19" t="s">
        <v>21</v>
      </c>
      <c r="N19" s="1">
        <v>40</v>
      </c>
      <c r="O19">
        <f>K19/N19</f>
        <v>38.950000000000003</v>
      </c>
      <c r="P19">
        <f>(H19*330*2/1000)*0.05</f>
        <v>55.802999999999997</v>
      </c>
      <c r="Q19">
        <f>P19/N19</f>
        <v>1.3950749999999998</v>
      </c>
      <c r="R19" s="3" t="str">
        <f>LEFT(D19,1) &amp; TEXT(RIGHT(D19, LEN(D19)-1), "00")</f>
        <v>B06</v>
      </c>
      <c r="S19" t="s">
        <v>178</v>
      </c>
      <c r="T19">
        <v>1691</v>
      </c>
    </row>
    <row r="20" spans="1:20" x14ac:dyDescent="0.2">
      <c r="A20" t="s">
        <v>13</v>
      </c>
      <c r="B20" t="s">
        <v>210</v>
      </c>
      <c r="C20" t="s">
        <v>15</v>
      </c>
      <c r="D20" t="s">
        <v>211</v>
      </c>
      <c r="E20" t="s">
        <v>212</v>
      </c>
      <c r="F20">
        <v>1486</v>
      </c>
      <c r="G20" t="s">
        <v>213</v>
      </c>
      <c r="H20">
        <v>1530</v>
      </c>
      <c r="I20" t="s">
        <v>19</v>
      </c>
      <c r="J20" t="s">
        <v>19</v>
      </c>
      <c r="K20">
        <v>1393</v>
      </c>
      <c r="L20" t="s">
        <v>20</v>
      </c>
      <c r="M20" t="s">
        <v>21</v>
      </c>
      <c r="N20" s="1">
        <v>40</v>
      </c>
      <c r="O20">
        <f>K20/N20</f>
        <v>34.825000000000003</v>
      </c>
      <c r="P20">
        <f>(H20*330*2/1000)*0.05</f>
        <v>50.49</v>
      </c>
      <c r="Q20">
        <f>P20/N20</f>
        <v>1.2622500000000001</v>
      </c>
      <c r="R20" s="3" t="str">
        <f>LEFT(D20,1) &amp; TEXT(RIGHT(D20, LEN(D20)-1), "00")</f>
        <v>B07</v>
      </c>
      <c r="S20" t="s">
        <v>210</v>
      </c>
      <c r="T20">
        <v>1530</v>
      </c>
    </row>
    <row r="21" spans="1:20" x14ac:dyDescent="0.2">
      <c r="A21" t="s">
        <v>13</v>
      </c>
      <c r="B21" t="s">
        <v>242</v>
      </c>
      <c r="C21" t="s">
        <v>15</v>
      </c>
      <c r="D21" t="s">
        <v>243</v>
      </c>
      <c r="E21" t="s">
        <v>244</v>
      </c>
      <c r="F21">
        <v>810</v>
      </c>
      <c r="G21" t="s">
        <v>245</v>
      </c>
      <c r="H21">
        <v>854</v>
      </c>
      <c r="I21" t="s">
        <v>19</v>
      </c>
      <c r="J21" t="s">
        <v>19</v>
      </c>
      <c r="K21">
        <v>795</v>
      </c>
      <c r="L21" t="s">
        <v>20</v>
      </c>
      <c r="M21" t="s">
        <v>21</v>
      </c>
      <c r="N21" s="1">
        <v>25</v>
      </c>
      <c r="O21">
        <f>K21/N21</f>
        <v>31.8</v>
      </c>
      <c r="P21">
        <f>(H21*330*2/1000)*0.05</f>
        <v>28.182000000000002</v>
      </c>
      <c r="Q21">
        <f>P21/N21</f>
        <v>1.1272800000000001</v>
      </c>
      <c r="R21" s="3" t="str">
        <f>LEFT(D21,1) &amp; TEXT(RIGHT(D21, LEN(D21)-1), "00")</f>
        <v>B08</v>
      </c>
      <c r="S21" t="s">
        <v>242</v>
      </c>
      <c r="T21">
        <v>854</v>
      </c>
    </row>
    <row r="22" spans="1:20" x14ac:dyDescent="0.2">
      <c r="A22" t="s">
        <v>13</v>
      </c>
      <c r="B22" t="s">
        <v>274</v>
      </c>
      <c r="C22" t="s">
        <v>15</v>
      </c>
      <c r="D22" t="s">
        <v>275</v>
      </c>
      <c r="E22" t="s">
        <v>276</v>
      </c>
      <c r="F22">
        <v>456</v>
      </c>
      <c r="G22" t="s">
        <v>277</v>
      </c>
      <c r="H22">
        <v>500</v>
      </c>
      <c r="I22" t="s">
        <v>19</v>
      </c>
      <c r="J22" t="s">
        <v>19</v>
      </c>
      <c r="K22">
        <v>1102</v>
      </c>
      <c r="L22" t="s">
        <v>20</v>
      </c>
      <c r="M22" t="s">
        <v>21</v>
      </c>
      <c r="N22" s="1">
        <v>15</v>
      </c>
      <c r="O22">
        <f>K22/N22</f>
        <v>73.466666666666669</v>
      </c>
      <c r="P22">
        <f>(H22*330*2/1000)*0.05</f>
        <v>16.5</v>
      </c>
      <c r="Q22">
        <f>P22/N22</f>
        <v>1.1000000000000001</v>
      </c>
      <c r="R22" s="3" t="str">
        <f>LEFT(D22,1) &amp; TEXT(RIGHT(D22, LEN(D22)-1), "00")</f>
        <v>B09</v>
      </c>
      <c r="S22" t="s">
        <v>274</v>
      </c>
      <c r="T22">
        <v>500</v>
      </c>
    </row>
    <row r="23" spans="1:20" x14ac:dyDescent="0.2">
      <c r="A23" t="s">
        <v>13</v>
      </c>
      <c r="B23" t="s">
        <v>306</v>
      </c>
      <c r="C23" t="s">
        <v>15</v>
      </c>
      <c r="D23" t="s">
        <v>307</v>
      </c>
      <c r="E23" t="s">
        <v>308</v>
      </c>
      <c r="F23">
        <v>300</v>
      </c>
      <c r="G23" t="s">
        <v>309</v>
      </c>
      <c r="H23">
        <v>344</v>
      </c>
      <c r="I23" t="s">
        <v>19</v>
      </c>
      <c r="J23" t="s">
        <v>19</v>
      </c>
      <c r="K23">
        <v>492</v>
      </c>
      <c r="L23" t="s">
        <v>20</v>
      </c>
      <c r="M23" t="s">
        <v>21</v>
      </c>
      <c r="N23" s="1">
        <v>10</v>
      </c>
      <c r="O23">
        <f>K23/N23</f>
        <v>49.2</v>
      </c>
      <c r="P23">
        <f>(H23*330*2/1000)*0.05</f>
        <v>11.352</v>
      </c>
      <c r="Q23">
        <f>P23/N23</f>
        <v>1.1352</v>
      </c>
      <c r="R23" s="3" t="str">
        <f>LEFT(D23,1) &amp; TEXT(RIGHT(D23, LEN(D23)-1), "00")</f>
        <v>B10</v>
      </c>
      <c r="S23" t="s">
        <v>306</v>
      </c>
      <c r="T23">
        <v>344</v>
      </c>
    </row>
    <row r="24" spans="1:20" x14ac:dyDescent="0.2">
      <c r="A24" t="s">
        <v>13</v>
      </c>
      <c r="B24" t="s">
        <v>338</v>
      </c>
      <c r="C24" t="s">
        <v>15</v>
      </c>
      <c r="D24" t="s">
        <v>339</v>
      </c>
      <c r="E24" t="s">
        <v>340</v>
      </c>
      <c r="F24">
        <v>555</v>
      </c>
      <c r="G24" t="s">
        <v>341</v>
      </c>
      <c r="H24">
        <v>599</v>
      </c>
      <c r="I24" t="s">
        <v>19</v>
      </c>
      <c r="J24" t="s">
        <v>19</v>
      </c>
      <c r="K24">
        <v>874</v>
      </c>
      <c r="L24" t="s">
        <v>20</v>
      </c>
      <c r="M24" t="s">
        <v>21</v>
      </c>
      <c r="N24" s="1">
        <v>15</v>
      </c>
      <c r="O24">
        <f>K24/N24</f>
        <v>58.266666666666666</v>
      </c>
      <c r="P24">
        <f>(H24*330*2/1000)*0.05</f>
        <v>19.766999999999999</v>
      </c>
      <c r="Q24">
        <f>P24/N24</f>
        <v>1.3177999999999999</v>
      </c>
      <c r="R24" s="3" t="str">
        <f>LEFT(D24,1) &amp; TEXT(RIGHT(D24, LEN(D24)-1), "00")</f>
        <v>B11</v>
      </c>
      <c r="S24" t="s">
        <v>338</v>
      </c>
      <c r="T24">
        <v>599</v>
      </c>
    </row>
    <row r="25" spans="1:20" x14ac:dyDescent="0.2">
      <c r="A25" t="s">
        <v>13</v>
      </c>
      <c r="B25" t="s">
        <v>369</v>
      </c>
      <c r="C25" t="s">
        <v>15</v>
      </c>
      <c r="D25" t="s">
        <v>370</v>
      </c>
      <c r="E25" t="s">
        <v>371</v>
      </c>
      <c r="F25">
        <v>300</v>
      </c>
      <c r="G25" t="s">
        <v>372</v>
      </c>
      <c r="H25">
        <v>344</v>
      </c>
      <c r="I25" t="s">
        <v>19</v>
      </c>
      <c r="J25" t="s">
        <v>19</v>
      </c>
      <c r="K25">
        <v>717</v>
      </c>
      <c r="L25" t="s">
        <v>20</v>
      </c>
      <c r="M25" t="s">
        <v>21</v>
      </c>
      <c r="N25" s="1">
        <v>10</v>
      </c>
      <c r="O25">
        <f>K25/N25</f>
        <v>71.7</v>
      </c>
      <c r="P25">
        <f>(H25*330*2/1000)*0.05</f>
        <v>11.352</v>
      </c>
      <c r="Q25">
        <f>P25/N25</f>
        <v>1.1352</v>
      </c>
      <c r="R25" s="3" t="str">
        <f>LEFT(D25,1) &amp; TEXT(RIGHT(D25, LEN(D25)-1), "00")</f>
        <v>B12</v>
      </c>
      <c r="S25" t="s">
        <v>369</v>
      </c>
      <c r="T25">
        <v>344</v>
      </c>
    </row>
    <row r="26" spans="1:20" x14ac:dyDescent="0.2">
      <c r="A26" t="s">
        <v>13</v>
      </c>
      <c r="B26" t="s">
        <v>26</v>
      </c>
      <c r="C26" t="s">
        <v>15</v>
      </c>
      <c r="D26" t="s">
        <v>27</v>
      </c>
      <c r="E26" t="s">
        <v>28</v>
      </c>
      <c r="F26">
        <v>767</v>
      </c>
      <c r="G26" t="s">
        <v>29</v>
      </c>
      <c r="H26">
        <v>811</v>
      </c>
      <c r="I26" t="s">
        <v>19</v>
      </c>
      <c r="J26" t="s">
        <v>19</v>
      </c>
      <c r="K26">
        <v>828</v>
      </c>
      <c r="L26" t="s">
        <v>20</v>
      </c>
      <c r="M26" t="s">
        <v>21</v>
      </c>
      <c r="N26" s="1">
        <v>25</v>
      </c>
      <c r="O26">
        <f>K26/N26</f>
        <v>33.119999999999997</v>
      </c>
      <c r="P26">
        <f>(H26*330*2/1000)*0.05</f>
        <v>26.763000000000002</v>
      </c>
      <c r="Q26">
        <f>P26/N26</f>
        <v>1.0705200000000001</v>
      </c>
      <c r="R26" s="3" t="str">
        <f>LEFT(D26,1) &amp; TEXT(RIGHT(D26, LEN(D26)-1), "00")</f>
        <v>C01</v>
      </c>
      <c r="S26" t="s">
        <v>26</v>
      </c>
      <c r="T26">
        <v>811</v>
      </c>
    </row>
    <row r="27" spans="1:20" x14ac:dyDescent="0.2">
      <c r="A27" t="s">
        <v>13</v>
      </c>
      <c r="B27" t="s">
        <v>57</v>
      </c>
      <c r="C27" t="s">
        <v>15</v>
      </c>
      <c r="D27" t="s">
        <v>58</v>
      </c>
      <c r="E27" t="s">
        <v>59</v>
      </c>
      <c r="F27">
        <v>474</v>
      </c>
      <c r="G27" t="s">
        <v>60</v>
      </c>
      <c r="H27">
        <v>518</v>
      </c>
      <c r="I27" t="s">
        <v>19</v>
      </c>
      <c r="J27" t="s">
        <v>19</v>
      </c>
      <c r="K27">
        <v>1015</v>
      </c>
      <c r="L27" t="s">
        <v>20</v>
      </c>
      <c r="M27" t="s">
        <v>21</v>
      </c>
      <c r="N27" s="1">
        <v>15</v>
      </c>
      <c r="O27">
        <f>K27/N27</f>
        <v>67.666666666666671</v>
      </c>
      <c r="P27">
        <f>(H27*330*2/1000)*0.05</f>
        <v>17.094000000000001</v>
      </c>
      <c r="Q27">
        <f>P27/N27</f>
        <v>1.1396000000000002</v>
      </c>
      <c r="R27" s="3" t="str">
        <f>LEFT(D27,1) &amp; TEXT(RIGHT(D27, LEN(D27)-1), "00")</f>
        <v>C02</v>
      </c>
      <c r="S27" t="s">
        <v>57</v>
      </c>
      <c r="T27">
        <v>518</v>
      </c>
    </row>
    <row r="28" spans="1:20" x14ac:dyDescent="0.2">
      <c r="A28" t="s">
        <v>13</v>
      </c>
      <c r="B28" t="s">
        <v>88</v>
      </c>
      <c r="C28" t="s">
        <v>15</v>
      </c>
      <c r="D28" t="s">
        <v>89</v>
      </c>
      <c r="E28" t="s">
        <v>90</v>
      </c>
      <c r="F28">
        <v>300</v>
      </c>
      <c r="G28" t="s">
        <v>91</v>
      </c>
      <c r="H28">
        <v>344</v>
      </c>
      <c r="I28" t="s">
        <v>19</v>
      </c>
      <c r="J28" t="s">
        <v>19</v>
      </c>
      <c r="K28">
        <v>843</v>
      </c>
      <c r="L28" t="s">
        <v>20</v>
      </c>
      <c r="M28" t="s">
        <v>21</v>
      </c>
      <c r="N28" s="1">
        <v>10</v>
      </c>
      <c r="O28">
        <f>K28/N28</f>
        <v>84.3</v>
      </c>
      <c r="P28">
        <f>(H28*330*2/1000)*0.05</f>
        <v>11.352</v>
      </c>
      <c r="Q28">
        <f>P28/N28</f>
        <v>1.1352</v>
      </c>
      <c r="R28" s="3" t="str">
        <f>LEFT(D28,1) &amp; TEXT(RIGHT(D28, LEN(D28)-1), "00")</f>
        <v>C03</v>
      </c>
      <c r="S28" t="s">
        <v>88</v>
      </c>
      <c r="T28">
        <v>344</v>
      </c>
    </row>
    <row r="29" spans="1:20" x14ac:dyDescent="0.2">
      <c r="A29" t="s">
        <v>13</v>
      </c>
      <c r="B29" t="s">
        <v>119</v>
      </c>
      <c r="C29" t="s">
        <v>15</v>
      </c>
      <c r="D29" t="s">
        <v>120</v>
      </c>
      <c r="E29" t="s">
        <v>121</v>
      </c>
      <c r="F29">
        <v>300</v>
      </c>
      <c r="G29" t="s">
        <v>122</v>
      </c>
      <c r="H29">
        <v>344</v>
      </c>
      <c r="I29" t="s">
        <v>19</v>
      </c>
      <c r="J29" t="s">
        <v>19</v>
      </c>
      <c r="K29">
        <v>731</v>
      </c>
      <c r="L29" t="s">
        <v>20</v>
      </c>
      <c r="M29" t="s">
        <v>21</v>
      </c>
      <c r="N29" s="1">
        <v>10</v>
      </c>
      <c r="O29">
        <f>K29/N29</f>
        <v>73.099999999999994</v>
      </c>
      <c r="P29">
        <f>(H29*330*2/1000)*0.05</f>
        <v>11.352</v>
      </c>
      <c r="Q29">
        <f>P29/N29</f>
        <v>1.1352</v>
      </c>
      <c r="R29" s="3" t="str">
        <f>LEFT(D29,1) &amp; TEXT(RIGHT(D29, LEN(D29)-1), "00")</f>
        <v>C04</v>
      </c>
      <c r="S29" t="s">
        <v>119</v>
      </c>
      <c r="T29">
        <v>344</v>
      </c>
    </row>
    <row r="30" spans="1:20" x14ac:dyDescent="0.2">
      <c r="A30" t="s">
        <v>13</v>
      </c>
      <c r="B30" t="s">
        <v>151</v>
      </c>
      <c r="C30" t="s">
        <v>15</v>
      </c>
      <c r="D30" t="s">
        <v>152</v>
      </c>
      <c r="E30" t="s">
        <v>153</v>
      </c>
      <c r="F30">
        <v>453</v>
      </c>
      <c r="G30" t="s">
        <v>154</v>
      </c>
      <c r="H30">
        <v>497</v>
      </c>
      <c r="I30" t="s">
        <v>19</v>
      </c>
      <c r="J30" t="s">
        <v>19</v>
      </c>
      <c r="K30">
        <v>830</v>
      </c>
      <c r="L30" t="s">
        <v>20</v>
      </c>
      <c r="M30" t="s">
        <v>21</v>
      </c>
      <c r="N30" s="1">
        <v>15</v>
      </c>
      <c r="O30">
        <f>K30/N30</f>
        <v>55.333333333333336</v>
      </c>
      <c r="P30">
        <f>(H30*330*2/1000)*0.05</f>
        <v>16.401</v>
      </c>
      <c r="Q30">
        <f>P30/N30</f>
        <v>1.0933999999999999</v>
      </c>
      <c r="R30" s="3" t="str">
        <f>LEFT(D30,1) &amp; TEXT(RIGHT(D30, LEN(D30)-1), "00")</f>
        <v>C05</v>
      </c>
      <c r="S30" t="s">
        <v>151</v>
      </c>
      <c r="T30">
        <v>497</v>
      </c>
    </row>
    <row r="31" spans="1:20" x14ac:dyDescent="0.2">
      <c r="A31" t="s">
        <v>13</v>
      </c>
      <c r="B31" t="s">
        <v>182</v>
      </c>
      <c r="C31" t="s">
        <v>15</v>
      </c>
      <c r="D31" t="s">
        <v>183</v>
      </c>
      <c r="E31" t="s">
        <v>184</v>
      </c>
      <c r="F31">
        <v>300</v>
      </c>
      <c r="G31" t="s">
        <v>185</v>
      </c>
      <c r="H31">
        <v>344</v>
      </c>
      <c r="I31" t="s">
        <v>19</v>
      </c>
      <c r="J31" t="s">
        <v>19</v>
      </c>
      <c r="K31">
        <v>729</v>
      </c>
      <c r="L31" t="s">
        <v>20</v>
      </c>
      <c r="M31" t="s">
        <v>21</v>
      </c>
      <c r="N31" s="1">
        <v>10</v>
      </c>
      <c r="O31">
        <f>K31/N31</f>
        <v>72.900000000000006</v>
      </c>
      <c r="P31">
        <f>(H31*330*2/1000)*0.05</f>
        <v>11.352</v>
      </c>
      <c r="Q31">
        <f>P31/N31</f>
        <v>1.1352</v>
      </c>
      <c r="R31" s="3" t="str">
        <f>LEFT(D31,1) &amp; TEXT(RIGHT(D31, LEN(D31)-1), "00")</f>
        <v>C06</v>
      </c>
      <c r="S31" t="s">
        <v>182</v>
      </c>
      <c r="T31">
        <v>344</v>
      </c>
    </row>
    <row r="32" spans="1:20" x14ac:dyDescent="0.2">
      <c r="A32" t="s">
        <v>13</v>
      </c>
      <c r="B32" t="s">
        <v>214</v>
      </c>
      <c r="C32" t="s">
        <v>15</v>
      </c>
      <c r="D32" t="s">
        <v>215</v>
      </c>
      <c r="E32" t="s">
        <v>216</v>
      </c>
      <c r="F32">
        <v>1486</v>
      </c>
      <c r="G32" t="s">
        <v>217</v>
      </c>
      <c r="H32">
        <v>1530</v>
      </c>
      <c r="I32" t="s">
        <v>19</v>
      </c>
      <c r="J32" t="s">
        <v>19</v>
      </c>
      <c r="K32">
        <v>1551</v>
      </c>
      <c r="L32" t="s">
        <v>20</v>
      </c>
      <c r="M32" t="s">
        <v>21</v>
      </c>
      <c r="N32" s="1">
        <v>40</v>
      </c>
      <c r="O32">
        <f>K32/N32</f>
        <v>38.774999999999999</v>
      </c>
      <c r="P32">
        <f>(H32*330*2/1000)*0.05</f>
        <v>50.49</v>
      </c>
      <c r="Q32">
        <f>P32/N32</f>
        <v>1.2622500000000001</v>
      </c>
      <c r="R32" s="3" t="str">
        <f>LEFT(D32,1) &amp; TEXT(RIGHT(D32, LEN(D32)-1), "00")</f>
        <v>C07</v>
      </c>
      <c r="S32" t="s">
        <v>214</v>
      </c>
      <c r="T32">
        <v>1530</v>
      </c>
    </row>
    <row r="33" spans="1:20" x14ac:dyDescent="0.2">
      <c r="A33" t="s">
        <v>13</v>
      </c>
      <c r="B33" t="s">
        <v>246</v>
      </c>
      <c r="C33" t="s">
        <v>15</v>
      </c>
      <c r="D33" t="s">
        <v>247</v>
      </c>
      <c r="E33" t="s">
        <v>248</v>
      </c>
      <c r="F33">
        <v>1443</v>
      </c>
      <c r="G33" t="s">
        <v>249</v>
      </c>
      <c r="H33">
        <v>1487</v>
      </c>
      <c r="I33" t="s">
        <v>19</v>
      </c>
      <c r="J33" t="s">
        <v>19</v>
      </c>
      <c r="K33">
        <v>1708</v>
      </c>
      <c r="L33" t="s">
        <v>20</v>
      </c>
      <c r="M33" t="s">
        <v>21</v>
      </c>
      <c r="N33" s="1">
        <v>25</v>
      </c>
      <c r="O33">
        <f>K33/N33</f>
        <v>68.319999999999993</v>
      </c>
      <c r="P33">
        <f>(H33*330*2/1000)*0.05</f>
        <v>49.070999999999998</v>
      </c>
      <c r="Q33">
        <f>P33/N33</f>
        <v>1.9628399999999999</v>
      </c>
      <c r="R33" s="3" t="str">
        <f>LEFT(D33,1) &amp; TEXT(RIGHT(D33, LEN(D33)-1), "00")</f>
        <v>C08</v>
      </c>
      <c r="S33" t="s">
        <v>246</v>
      </c>
      <c r="T33">
        <v>1487</v>
      </c>
    </row>
    <row r="34" spans="1:20" x14ac:dyDescent="0.2">
      <c r="A34" t="s">
        <v>13</v>
      </c>
      <c r="B34" t="s">
        <v>278</v>
      </c>
      <c r="C34" t="s">
        <v>15</v>
      </c>
      <c r="D34" t="s">
        <v>279</v>
      </c>
      <c r="E34" t="s">
        <v>280</v>
      </c>
      <c r="F34">
        <v>300</v>
      </c>
      <c r="G34" t="s">
        <v>281</v>
      </c>
      <c r="H34">
        <v>344</v>
      </c>
      <c r="I34" t="s">
        <v>19</v>
      </c>
      <c r="J34" t="s">
        <v>19</v>
      </c>
      <c r="K34">
        <v>768</v>
      </c>
      <c r="L34" t="s">
        <v>20</v>
      </c>
      <c r="M34" t="s">
        <v>21</v>
      </c>
      <c r="N34" s="1">
        <v>10</v>
      </c>
      <c r="O34">
        <f>K34/N34</f>
        <v>76.8</v>
      </c>
      <c r="P34">
        <f>(H34*330*2/1000)*0.05</f>
        <v>11.352</v>
      </c>
      <c r="Q34">
        <f>P34/N34</f>
        <v>1.1352</v>
      </c>
      <c r="R34" s="3" t="str">
        <f>LEFT(D34,1) &amp; TEXT(RIGHT(D34, LEN(D34)-1), "00")</f>
        <v>C09</v>
      </c>
      <c r="S34" t="s">
        <v>278</v>
      </c>
      <c r="T34">
        <v>344</v>
      </c>
    </row>
    <row r="35" spans="1:20" x14ac:dyDescent="0.2">
      <c r="A35" t="s">
        <v>13</v>
      </c>
      <c r="B35" t="s">
        <v>310</v>
      </c>
      <c r="C35" t="s">
        <v>15</v>
      </c>
      <c r="D35" t="s">
        <v>311</v>
      </c>
      <c r="E35" t="s">
        <v>312</v>
      </c>
      <c r="F35">
        <v>300</v>
      </c>
      <c r="G35" t="s">
        <v>313</v>
      </c>
      <c r="H35">
        <v>344</v>
      </c>
      <c r="I35" t="s">
        <v>19</v>
      </c>
      <c r="J35" t="s">
        <v>19</v>
      </c>
      <c r="K35">
        <v>768</v>
      </c>
      <c r="L35" t="s">
        <v>20</v>
      </c>
      <c r="M35" t="s">
        <v>21</v>
      </c>
      <c r="N35" s="1">
        <v>10</v>
      </c>
      <c r="O35">
        <f>K35/N35</f>
        <v>76.8</v>
      </c>
      <c r="P35">
        <f>(H35*330*2/1000)*0.05</f>
        <v>11.352</v>
      </c>
      <c r="Q35">
        <f>P35/N35</f>
        <v>1.1352</v>
      </c>
      <c r="R35" s="3" t="str">
        <f>LEFT(D35,1) &amp; TEXT(RIGHT(D35, LEN(D35)-1), "00")</f>
        <v>C10</v>
      </c>
      <c r="S35" t="s">
        <v>310</v>
      </c>
      <c r="T35">
        <v>344</v>
      </c>
    </row>
    <row r="36" spans="1:20" x14ac:dyDescent="0.2">
      <c r="A36" t="s">
        <v>13</v>
      </c>
      <c r="B36" t="s">
        <v>342</v>
      </c>
      <c r="C36" t="s">
        <v>15</v>
      </c>
      <c r="D36" t="s">
        <v>343</v>
      </c>
      <c r="E36" t="s">
        <v>344</v>
      </c>
      <c r="F36">
        <v>1654</v>
      </c>
      <c r="G36" t="s">
        <v>345</v>
      </c>
      <c r="H36">
        <v>1698</v>
      </c>
      <c r="I36" t="s">
        <v>19</v>
      </c>
      <c r="J36" t="s">
        <v>19</v>
      </c>
      <c r="K36">
        <v>1638</v>
      </c>
      <c r="L36" t="s">
        <v>20</v>
      </c>
      <c r="M36" t="s">
        <v>21</v>
      </c>
      <c r="N36" s="1">
        <v>40</v>
      </c>
      <c r="O36">
        <f>K36/N36</f>
        <v>40.950000000000003</v>
      </c>
      <c r="P36">
        <f>(H36*330*2/1000)*0.05</f>
        <v>56.034000000000006</v>
      </c>
      <c r="Q36">
        <f>P36/N36</f>
        <v>1.4008500000000002</v>
      </c>
      <c r="R36" s="3" t="str">
        <f>LEFT(D36,1) &amp; TEXT(RIGHT(D36, LEN(D36)-1), "00")</f>
        <v>C11</v>
      </c>
      <c r="S36" t="s">
        <v>342</v>
      </c>
      <c r="T36">
        <v>1698</v>
      </c>
    </row>
    <row r="37" spans="1:20" x14ac:dyDescent="0.2">
      <c r="A37" t="s">
        <v>13</v>
      </c>
      <c r="B37" t="s">
        <v>373</v>
      </c>
      <c r="C37" t="s">
        <v>15</v>
      </c>
      <c r="D37" t="s">
        <v>374</v>
      </c>
      <c r="E37" t="s">
        <v>375</v>
      </c>
      <c r="F37">
        <v>300</v>
      </c>
      <c r="G37" t="s">
        <v>376</v>
      </c>
      <c r="H37">
        <v>344</v>
      </c>
      <c r="I37" t="s">
        <v>19</v>
      </c>
      <c r="J37" t="s">
        <v>19</v>
      </c>
      <c r="K37">
        <v>820</v>
      </c>
      <c r="L37" t="s">
        <v>20</v>
      </c>
      <c r="M37" t="s">
        <v>21</v>
      </c>
      <c r="N37" s="1">
        <v>10</v>
      </c>
      <c r="O37">
        <f>K37/N37</f>
        <v>82</v>
      </c>
      <c r="P37">
        <f>(H37*330*2/1000)*0.05</f>
        <v>11.352</v>
      </c>
      <c r="Q37">
        <f>P37/N37</f>
        <v>1.1352</v>
      </c>
      <c r="R37" s="3" t="str">
        <f>LEFT(D37,1) &amp; TEXT(RIGHT(D37, LEN(D37)-1), "00")</f>
        <v>C12</v>
      </c>
      <c r="S37" t="s">
        <v>373</v>
      </c>
      <c r="T37">
        <v>344</v>
      </c>
    </row>
    <row r="38" spans="1:20" x14ac:dyDescent="0.2">
      <c r="A38" t="s">
        <v>13</v>
      </c>
      <c r="B38" t="s">
        <v>30</v>
      </c>
      <c r="C38" t="s">
        <v>15</v>
      </c>
      <c r="D38" t="s">
        <v>31</v>
      </c>
      <c r="E38" t="s">
        <v>32</v>
      </c>
      <c r="F38">
        <v>300</v>
      </c>
      <c r="G38" t="s">
        <v>33</v>
      </c>
      <c r="H38">
        <v>344</v>
      </c>
      <c r="I38" t="s">
        <v>19</v>
      </c>
      <c r="J38" t="s">
        <v>19</v>
      </c>
      <c r="K38">
        <v>911</v>
      </c>
      <c r="L38" t="s">
        <v>20</v>
      </c>
      <c r="M38" t="s">
        <v>21</v>
      </c>
      <c r="N38" s="1">
        <v>10</v>
      </c>
      <c r="O38">
        <f>K38/N38</f>
        <v>91.1</v>
      </c>
      <c r="P38">
        <f>(H38*330*2/1000)*0.05</f>
        <v>11.352</v>
      </c>
      <c r="Q38">
        <f>P38/N38</f>
        <v>1.1352</v>
      </c>
      <c r="R38" s="3" t="str">
        <f>LEFT(D38,1) &amp; TEXT(RIGHT(D38, LEN(D38)-1), "00")</f>
        <v>D01</v>
      </c>
      <c r="S38" t="s">
        <v>30</v>
      </c>
      <c r="T38">
        <v>344</v>
      </c>
    </row>
    <row r="39" spans="1:20" x14ac:dyDescent="0.2">
      <c r="A39" t="s">
        <v>13</v>
      </c>
      <c r="B39" t="s">
        <v>61</v>
      </c>
      <c r="C39" t="s">
        <v>15</v>
      </c>
      <c r="D39" t="s">
        <v>62</v>
      </c>
      <c r="E39" t="s">
        <v>63</v>
      </c>
      <c r="F39">
        <v>300</v>
      </c>
      <c r="G39" t="s">
        <v>64</v>
      </c>
      <c r="H39">
        <v>344</v>
      </c>
      <c r="I39" t="s">
        <v>19</v>
      </c>
      <c r="J39" t="s">
        <v>19</v>
      </c>
      <c r="K39">
        <v>889</v>
      </c>
      <c r="L39" t="s">
        <v>20</v>
      </c>
      <c r="M39" t="s">
        <v>21</v>
      </c>
      <c r="N39" s="1">
        <v>10</v>
      </c>
      <c r="O39">
        <f>K39/N39</f>
        <v>88.9</v>
      </c>
      <c r="P39">
        <f>(H39*330*2/1000)*0.05</f>
        <v>11.352</v>
      </c>
      <c r="Q39">
        <f>P39/N39</f>
        <v>1.1352</v>
      </c>
      <c r="R39" s="3" t="str">
        <f>LEFT(D39,1) &amp; TEXT(RIGHT(D39, LEN(D39)-1), "00")</f>
        <v>D02</v>
      </c>
      <c r="S39" t="s">
        <v>61</v>
      </c>
      <c r="T39">
        <v>344</v>
      </c>
    </row>
    <row r="40" spans="1:20" x14ac:dyDescent="0.2">
      <c r="A40" t="s">
        <v>13</v>
      </c>
      <c r="B40" t="s">
        <v>92</v>
      </c>
      <c r="C40" t="s">
        <v>15</v>
      </c>
      <c r="D40" t="s">
        <v>93</v>
      </c>
      <c r="E40" t="s">
        <v>94</v>
      </c>
      <c r="F40">
        <v>944</v>
      </c>
      <c r="G40" t="s">
        <v>95</v>
      </c>
      <c r="H40">
        <v>988</v>
      </c>
      <c r="I40" t="s">
        <v>19</v>
      </c>
      <c r="J40" t="s">
        <v>19</v>
      </c>
      <c r="K40">
        <v>2079</v>
      </c>
      <c r="L40" t="s">
        <v>20</v>
      </c>
      <c r="M40" t="s">
        <v>21</v>
      </c>
      <c r="N40" s="1">
        <v>25</v>
      </c>
      <c r="O40">
        <f>K40/N40</f>
        <v>83.16</v>
      </c>
      <c r="P40">
        <f>(H40*330*2/1000)*0.05</f>
        <v>32.604000000000006</v>
      </c>
      <c r="Q40">
        <f>P40/N40</f>
        <v>1.3041600000000002</v>
      </c>
      <c r="R40" s="3" t="str">
        <f>LEFT(D40,1) &amp; TEXT(RIGHT(D40, LEN(D40)-1), "00")</f>
        <v>D03</v>
      </c>
      <c r="S40" t="s">
        <v>92</v>
      </c>
      <c r="T40">
        <v>988</v>
      </c>
    </row>
    <row r="41" spans="1:20" x14ac:dyDescent="0.2">
      <c r="A41" t="s">
        <v>13</v>
      </c>
      <c r="B41" t="s">
        <v>123</v>
      </c>
      <c r="C41" t="s">
        <v>15</v>
      </c>
      <c r="D41" t="s">
        <v>124</v>
      </c>
      <c r="E41" t="s">
        <v>125</v>
      </c>
      <c r="F41">
        <v>300</v>
      </c>
      <c r="G41" t="s">
        <v>126</v>
      </c>
      <c r="H41">
        <v>344</v>
      </c>
      <c r="I41" t="s">
        <v>19</v>
      </c>
      <c r="J41" t="s">
        <v>19</v>
      </c>
      <c r="K41">
        <v>793</v>
      </c>
      <c r="L41" t="s">
        <v>20</v>
      </c>
      <c r="M41" t="s">
        <v>21</v>
      </c>
      <c r="N41" s="1">
        <v>10</v>
      </c>
      <c r="O41">
        <f>K41/N41</f>
        <v>79.3</v>
      </c>
      <c r="P41">
        <f>(H41*330*2/1000)*0.05</f>
        <v>11.352</v>
      </c>
      <c r="Q41">
        <f>P41/N41</f>
        <v>1.1352</v>
      </c>
      <c r="R41" s="3" t="str">
        <f>LEFT(D41,1) &amp; TEXT(RIGHT(D41, LEN(D41)-1), "00")</f>
        <v>D04</v>
      </c>
      <c r="S41" t="s">
        <v>123</v>
      </c>
      <c r="T41">
        <v>344</v>
      </c>
    </row>
    <row r="42" spans="1:20" x14ac:dyDescent="0.2">
      <c r="A42" t="s">
        <v>13</v>
      </c>
      <c r="B42" t="s">
        <v>155</v>
      </c>
      <c r="C42" t="s">
        <v>15</v>
      </c>
      <c r="D42" t="s">
        <v>156</v>
      </c>
      <c r="E42" t="s">
        <v>157</v>
      </c>
      <c r="F42">
        <v>300</v>
      </c>
      <c r="G42" t="s">
        <v>158</v>
      </c>
      <c r="H42">
        <v>344</v>
      </c>
      <c r="I42" t="s">
        <v>19</v>
      </c>
      <c r="J42" t="s">
        <v>19</v>
      </c>
      <c r="K42">
        <v>799</v>
      </c>
      <c r="L42" t="s">
        <v>20</v>
      </c>
      <c r="M42" t="s">
        <v>21</v>
      </c>
      <c r="N42" s="1">
        <v>10</v>
      </c>
      <c r="O42">
        <f>K42/N42</f>
        <v>79.900000000000006</v>
      </c>
      <c r="P42">
        <f>(H42*330*2/1000)*0.05</f>
        <v>11.352</v>
      </c>
      <c r="Q42">
        <f>P42/N42</f>
        <v>1.1352</v>
      </c>
      <c r="R42" s="3" t="str">
        <f>LEFT(D42,1) &amp; TEXT(RIGHT(D42, LEN(D42)-1), "00")</f>
        <v>D05</v>
      </c>
      <c r="S42" t="s">
        <v>155</v>
      </c>
      <c r="T42">
        <v>344</v>
      </c>
    </row>
    <row r="43" spans="1:20" x14ac:dyDescent="0.2">
      <c r="A43" t="s">
        <v>13</v>
      </c>
      <c r="B43" t="s">
        <v>186</v>
      </c>
      <c r="C43" t="s">
        <v>15</v>
      </c>
      <c r="D43" t="s">
        <v>187</v>
      </c>
      <c r="E43" t="s">
        <v>188</v>
      </c>
      <c r="F43">
        <v>858</v>
      </c>
      <c r="G43" t="s">
        <v>189</v>
      </c>
      <c r="H43">
        <v>902</v>
      </c>
      <c r="I43" t="s">
        <v>19</v>
      </c>
      <c r="J43" t="s">
        <v>19</v>
      </c>
      <c r="K43">
        <v>731</v>
      </c>
      <c r="L43" t="s">
        <v>20</v>
      </c>
      <c r="M43" t="s">
        <v>21</v>
      </c>
      <c r="N43" s="1">
        <v>25</v>
      </c>
      <c r="O43">
        <f>K43/N43</f>
        <v>29.24</v>
      </c>
      <c r="P43">
        <f>(H43*330*2/1000)*0.05</f>
        <v>29.766000000000005</v>
      </c>
      <c r="Q43">
        <f>P43/N43</f>
        <v>1.1906400000000001</v>
      </c>
      <c r="R43" s="3" t="str">
        <f>LEFT(D43,1) &amp; TEXT(RIGHT(D43, LEN(D43)-1), "00")</f>
        <v>D06</v>
      </c>
      <c r="S43" t="s">
        <v>186</v>
      </c>
      <c r="T43">
        <v>902</v>
      </c>
    </row>
    <row r="44" spans="1:20" x14ac:dyDescent="0.2">
      <c r="A44" t="s">
        <v>13</v>
      </c>
      <c r="B44" t="s">
        <v>218</v>
      </c>
      <c r="C44" t="s">
        <v>15</v>
      </c>
      <c r="D44" t="s">
        <v>219</v>
      </c>
      <c r="E44" t="s">
        <v>220</v>
      </c>
      <c r="F44">
        <v>2167</v>
      </c>
      <c r="G44" t="s">
        <v>221</v>
      </c>
      <c r="H44">
        <v>2211</v>
      </c>
      <c r="I44" t="s">
        <v>19</v>
      </c>
      <c r="J44" t="s">
        <v>19</v>
      </c>
      <c r="K44">
        <v>1557</v>
      </c>
      <c r="L44" t="s">
        <v>20</v>
      </c>
      <c r="M44" t="s">
        <v>21</v>
      </c>
      <c r="N44" s="1">
        <v>40</v>
      </c>
      <c r="O44">
        <f>K44/N44</f>
        <v>38.924999999999997</v>
      </c>
      <c r="P44">
        <f>(H44*330*2/1000)*0.05</f>
        <v>72.963000000000008</v>
      </c>
      <c r="Q44">
        <f>P44/N44</f>
        <v>1.8240750000000001</v>
      </c>
      <c r="R44" s="3" t="str">
        <f>LEFT(D44,1) &amp; TEXT(RIGHT(D44, LEN(D44)-1), "00")</f>
        <v>D07</v>
      </c>
      <c r="S44" t="s">
        <v>218</v>
      </c>
      <c r="T44">
        <v>2211</v>
      </c>
    </row>
    <row r="45" spans="1:20" x14ac:dyDescent="0.2">
      <c r="A45" t="s">
        <v>13</v>
      </c>
      <c r="B45" t="s">
        <v>250</v>
      </c>
      <c r="C45" t="s">
        <v>15</v>
      </c>
      <c r="D45" t="s">
        <v>251</v>
      </c>
      <c r="E45" t="s">
        <v>252</v>
      </c>
      <c r="F45">
        <v>561</v>
      </c>
      <c r="G45" t="s">
        <v>253</v>
      </c>
      <c r="H45">
        <v>605</v>
      </c>
      <c r="I45" t="s">
        <v>19</v>
      </c>
      <c r="J45" t="s">
        <v>19</v>
      </c>
      <c r="K45">
        <v>1069</v>
      </c>
      <c r="L45" t="s">
        <v>20</v>
      </c>
      <c r="M45" t="s">
        <v>21</v>
      </c>
      <c r="N45" s="1">
        <v>15</v>
      </c>
      <c r="O45">
        <f>K45/N45</f>
        <v>71.266666666666666</v>
      </c>
      <c r="P45">
        <f>(H45*330*2/1000)*0.05</f>
        <v>19.965000000000003</v>
      </c>
      <c r="Q45">
        <f>P45/N45</f>
        <v>1.3310000000000002</v>
      </c>
      <c r="R45" s="3" t="str">
        <f>LEFT(D45,1) &amp; TEXT(RIGHT(D45, LEN(D45)-1), "00")</f>
        <v>D08</v>
      </c>
      <c r="S45" t="s">
        <v>250</v>
      </c>
      <c r="T45">
        <v>605</v>
      </c>
    </row>
    <row r="46" spans="1:20" x14ac:dyDescent="0.2">
      <c r="A46" t="s">
        <v>13</v>
      </c>
      <c r="B46" t="s">
        <v>282</v>
      </c>
      <c r="C46" t="s">
        <v>15</v>
      </c>
      <c r="D46" t="s">
        <v>283</v>
      </c>
      <c r="E46" t="s">
        <v>284</v>
      </c>
      <c r="F46">
        <v>300</v>
      </c>
      <c r="G46" t="s">
        <v>285</v>
      </c>
      <c r="H46">
        <v>344</v>
      </c>
      <c r="I46" t="s">
        <v>19</v>
      </c>
      <c r="J46" t="s">
        <v>19</v>
      </c>
      <c r="K46">
        <v>721</v>
      </c>
      <c r="L46" t="s">
        <v>20</v>
      </c>
      <c r="M46" t="s">
        <v>21</v>
      </c>
      <c r="N46" s="1">
        <v>10</v>
      </c>
      <c r="O46">
        <f>K46/N46</f>
        <v>72.099999999999994</v>
      </c>
      <c r="P46">
        <f>(H46*330*2/1000)*0.05</f>
        <v>11.352</v>
      </c>
      <c r="Q46">
        <f>P46/N46</f>
        <v>1.1352</v>
      </c>
      <c r="R46" s="3" t="str">
        <f>LEFT(D46,1) &amp; TEXT(RIGHT(D46, LEN(D46)-1), "00")</f>
        <v>D09</v>
      </c>
      <c r="S46" t="s">
        <v>282</v>
      </c>
      <c r="T46">
        <v>344</v>
      </c>
    </row>
    <row r="47" spans="1:20" x14ac:dyDescent="0.2">
      <c r="A47" t="s">
        <v>13</v>
      </c>
      <c r="B47" t="s">
        <v>314</v>
      </c>
      <c r="C47" t="s">
        <v>15</v>
      </c>
      <c r="D47" t="s">
        <v>315</v>
      </c>
      <c r="E47" t="s">
        <v>316</v>
      </c>
      <c r="F47">
        <v>384</v>
      </c>
      <c r="G47" t="s">
        <v>317</v>
      </c>
      <c r="H47">
        <v>428</v>
      </c>
      <c r="I47" t="s">
        <v>19</v>
      </c>
      <c r="J47" t="s">
        <v>19</v>
      </c>
      <c r="K47">
        <v>746</v>
      </c>
      <c r="L47" t="s">
        <v>20</v>
      </c>
      <c r="M47" t="s">
        <v>21</v>
      </c>
      <c r="N47" s="1">
        <v>10</v>
      </c>
      <c r="O47">
        <f>K47/N47</f>
        <v>74.599999999999994</v>
      </c>
      <c r="P47">
        <f>(H47*330*2/1000)*0.05</f>
        <v>14.124000000000002</v>
      </c>
      <c r="Q47">
        <f>P47/N47</f>
        <v>1.4124000000000003</v>
      </c>
      <c r="R47" s="3" t="str">
        <f>LEFT(D47,1) &amp; TEXT(RIGHT(D47, LEN(D47)-1), "00")</f>
        <v>D10</v>
      </c>
      <c r="S47" t="s">
        <v>314</v>
      </c>
      <c r="T47">
        <v>428</v>
      </c>
    </row>
    <row r="48" spans="1:20" x14ac:dyDescent="0.2">
      <c r="A48" t="s">
        <v>13</v>
      </c>
      <c r="B48" t="s">
        <v>346</v>
      </c>
      <c r="C48" t="s">
        <v>15</v>
      </c>
      <c r="D48" t="s">
        <v>347</v>
      </c>
      <c r="E48" t="s">
        <v>348</v>
      </c>
      <c r="F48">
        <v>300</v>
      </c>
      <c r="G48" t="s">
        <v>349</v>
      </c>
      <c r="H48">
        <v>344</v>
      </c>
      <c r="I48" t="s">
        <v>19</v>
      </c>
      <c r="J48" t="s">
        <v>19</v>
      </c>
      <c r="K48">
        <v>731</v>
      </c>
      <c r="L48" t="s">
        <v>20</v>
      </c>
      <c r="M48" t="s">
        <v>21</v>
      </c>
      <c r="N48" s="1">
        <v>10</v>
      </c>
      <c r="O48">
        <f>K48/N48</f>
        <v>73.099999999999994</v>
      </c>
      <c r="P48">
        <f>(H48*330*2/1000)*0.05</f>
        <v>11.352</v>
      </c>
      <c r="Q48">
        <f>P48/N48</f>
        <v>1.1352</v>
      </c>
      <c r="R48" s="3" t="str">
        <f>LEFT(D48,1) &amp; TEXT(RIGHT(D48, LEN(D48)-1), "00")</f>
        <v>D11</v>
      </c>
      <c r="S48" t="s">
        <v>346</v>
      </c>
      <c r="T48">
        <v>344</v>
      </c>
    </row>
    <row r="49" spans="1:20" x14ac:dyDescent="0.2">
      <c r="A49" t="s">
        <v>13</v>
      </c>
      <c r="B49" t="s">
        <v>377</v>
      </c>
      <c r="C49" t="s">
        <v>15</v>
      </c>
      <c r="D49" t="s">
        <v>378</v>
      </c>
      <c r="E49" t="s">
        <v>379</v>
      </c>
      <c r="F49">
        <v>300</v>
      </c>
      <c r="G49" t="s">
        <v>380</v>
      </c>
      <c r="H49">
        <v>344</v>
      </c>
      <c r="I49" t="s">
        <v>19</v>
      </c>
      <c r="J49" t="s">
        <v>19</v>
      </c>
      <c r="K49">
        <v>880</v>
      </c>
      <c r="L49" t="s">
        <v>20</v>
      </c>
      <c r="M49" t="s">
        <v>21</v>
      </c>
      <c r="N49" s="1">
        <v>10</v>
      </c>
      <c r="O49">
        <f>K49/N49</f>
        <v>88</v>
      </c>
      <c r="P49">
        <f>(H49*330*2/1000)*0.05</f>
        <v>11.352</v>
      </c>
      <c r="Q49">
        <f>P49/N49</f>
        <v>1.1352</v>
      </c>
      <c r="R49" s="3" t="str">
        <f>LEFT(D49,1) &amp; TEXT(RIGHT(D49, LEN(D49)-1), "00")</f>
        <v>D12</v>
      </c>
      <c r="S49" t="s">
        <v>377</v>
      </c>
      <c r="T49">
        <v>344</v>
      </c>
    </row>
    <row r="50" spans="1:20" x14ac:dyDescent="0.2">
      <c r="A50" t="s">
        <v>13</v>
      </c>
      <c r="B50" t="s">
        <v>34</v>
      </c>
      <c r="C50" t="s">
        <v>15</v>
      </c>
      <c r="D50" t="s">
        <v>35</v>
      </c>
      <c r="E50" t="s">
        <v>36</v>
      </c>
      <c r="F50">
        <v>474</v>
      </c>
      <c r="G50" t="s">
        <v>37</v>
      </c>
      <c r="H50">
        <v>518</v>
      </c>
      <c r="I50" t="s">
        <v>19</v>
      </c>
      <c r="J50" t="s">
        <v>19</v>
      </c>
      <c r="K50">
        <v>979</v>
      </c>
      <c r="L50" t="s">
        <v>20</v>
      </c>
      <c r="M50" t="s">
        <v>21</v>
      </c>
      <c r="N50" s="1">
        <v>15</v>
      </c>
      <c r="O50">
        <f>K50/N50</f>
        <v>65.266666666666666</v>
      </c>
      <c r="P50">
        <f>(H50*330*2/1000)*0.05</f>
        <v>17.094000000000001</v>
      </c>
      <c r="Q50">
        <f>P50/N50</f>
        <v>1.1396000000000002</v>
      </c>
      <c r="R50" s="3" t="str">
        <f>LEFT(D50,1) &amp; TEXT(RIGHT(D50, LEN(D50)-1), "00")</f>
        <v>E01</v>
      </c>
      <c r="S50" t="s">
        <v>34</v>
      </c>
      <c r="T50">
        <v>518</v>
      </c>
    </row>
    <row r="51" spans="1:20" x14ac:dyDescent="0.2">
      <c r="A51" t="s">
        <v>13</v>
      </c>
      <c r="B51" t="s">
        <v>65</v>
      </c>
      <c r="C51" t="s">
        <v>15</v>
      </c>
      <c r="D51" t="s">
        <v>66</v>
      </c>
      <c r="E51" t="s">
        <v>67</v>
      </c>
      <c r="F51">
        <v>389</v>
      </c>
      <c r="G51" t="s">
        <v>68</v>
      </c>
      <c r="H51">
        <v>433</v>
      </c>
      <c r="I51" t="s">
        <v>19</v>
      </c>
      <c r="J51" t="s">
        <v>19</v>
      </c>
      <c r="K51">
        <v>1063</v>
      </c>
      <c r="L51" t="s">
        <v>20</v>
      </c>
      <c r="M51" t="s">
        <v>21</v>
      </c>
      <c r="N51" s="1">
        <v>10</v>
      </c>
      <c r="O51">
        <f>K51/N51</f>
        <v>106.3</v>
      </c>
      <c r="P51">
        <f>(H51*330*2/1000)*0.05</f>
        <v>14.289</v>
      </c>
      <c r="Q51">
        <f>P51/N51</f>
        <v>1.4289000000000001</v>
      </c>
      <c r="R51" s="3" t="str">
        <f>LEFT(D51,1) &amp; TEXT(RIGHT(D51, LEN(D51)-1), "00")</f>
        <v>E02</v>
      </c>
      <c r="S51" t="s">
        <v>65</v>
      </c>
      <c r="T51">
        <v>433</v>
      </c>
    </row>
    <row r="52" spans="1:20" x14ac:dyDescent="0.2">
      <c r="A52" t="s">
        <v>13</v>
      </c>
      <c r="B52" t="s">
        <v>96</v>
      </c>
      <c r="C52" t="s">
        <v>15</v>
      </c>
      <c r="D52" t="s">
        <v>97</v>
      </c>
      <c r="E52" t="s">
        <v>98</v>
      </c>
      <c r="F52">
        <v>1000</v>
      </c>
      <c r="G52" t="s">
        <v>99</v>
      </c>
      <c r="H52">
        <v>1044</v>
      </c>
      <c r="I52" t="s">
        <v>19</v>
      </c>
      <c r="J52" t="s">
        <v>19</v>
      </c>
      <c r="K52">
        <v>2727</v>
      </c>
      <c r="L52" t="s">
        <v>20</v>
      </c>
      <c r="M52" t="s">
        <v>21</v>
      </c>
      <c r="N52" s="1">
        <v>25</v>
      </c>
      <c r="O52">
        <f>K52/N52</f>
        <v>109.08</v>
      </c>
      <c r="P52">
        <f>(H52*330*2/1000)*0.05</f>
        <v>34.451999999999998</v>
      </c>
      <c r="Q52">
        <f>P52/N52</f>
        <v>1.37808</v>
      </c>
      <c r="R52" s="3" t="str">
        <f>LEFT(D52,1) &amp; TEXT(RIGHT(D52, LEN(D52)-1), "00")</f>
        <v>E03</v>
      </c>
      <c r="S52" t="s">
        <v>96</v>
      </c>
      <c r="T52">
        <v>1044</v>
      </c>
    </row>
    <row r="53" spans="1:20" x14ac:dyDescent="0.2">
      <c r="A53" t="s">
        <v>13</v>
      </c>
      <c r="B53" t="s">
        <v>127</v>
      </c>
      <c r="C53" t="s">
        <v>15</v>
      </c>
      <c r="D53" t="s">
        <v>128</v>
      </c>
      <c r="E53" t="s">
        <v>129</v>
      </c>
      <c r="F53">
        <v>774</v>
      </c>
      <c r="G53" t="s">
        <v>130</v>
      </c>
      <c r="H53">
        <v>818</v>
      </c>
      <c r="I53" t="s">
        <v>19</v>
      </c>
      <c r="J53" t="s">
        <v>19</v>
      </c>
      <c r="K53">
        <v>833</v>
      </c>
      <c r="L53" t="s">
        <v>20</v>
      </c>
      <c r="M53" t="s">
        <v>21</v>
      </c>
      <c r="N53" s="1">
        <v>25</v>
      </c>
      <c r="O53">
        <f>K53/N53</f>
        <v>33.32</v>
      </c>
      <c r="P53">
        <f>(H53*330*2/1000)*0.05</f>
        <v>26.994</v>
      </c>
      <c r="Q53">
        <f>P53/N53</f>
        <v>1.0797600000000001</v>
      </c>
      <c r="R53" s="3" t="str">
        <f>LEFT(D53,1) &amp; TEXT(RIGHT(D53, LEN(D53)-1), "00")</f>
        <v>E04</v>
      </c>
      <c r="S53" t="s">
        <v>127</v>
      </c>
      <c r="T53">
        <v>818</v>
      </c>
    </row>
    <row r="54" spans="1:20" x14ac:dyDescent="0.2">
      <c r="A54" t="s">
        <v>13</v>
      </c>
      <c r="B54" t="s">
        <v>159</v>
      </c>
      <c r="C54" t="s">
        <v>15</v>
      </c>
      <c r="D54" t="s">
        <v>160</v>
      </c>
      <c r="E54" t="s">
        <v>161</v>
      </c>
      <c r="F54">
        <v>300</v>
      </c>
      <c r="G54" t="s">
        <v>162</v>
      </c>
      <c r="H54">
        <v>344</v>
      </c>
      <c r="I54" t="s">
        <v>19</v>
      </c>
      <c r="J54" t="s">
        <v>19</v>
      </c>
      <c r="K54">
        <v>648</v>
      </c>
      <c r="L54" t="s">
        <v>20</v>
      </c>
      <c r="M54" t="s">
        <v>21</v>
      </c>
      <c r="N54" s="1">
        <v>10</v>
      </c>
      <c r="O54">
        <f>K54/N54</f>
        <v>64.8</v>
      </c>
      <c r="P54">
        <f>(H54*330*2/1000)*0.05</f>
        <v>11.352</v>
      </c>
      <c r="Q54">
        <f>P54/N54</f>
        <v>1.1352</v>
      </c>
      <c r="R54" s="3" t="str">
        <f>LEFT(D54,1) &amp; TEXT(RIGHT(D54, LEN(D54)-1), "00")</f>
        <v>E05</v>
      </c>
      <c r="S54" t="s">
        <v>159</v>
      </c>
      <c r="T54">
        <v>344</v>
      </c>
    </row>
    <row r="55" spans="1:20" x14ac:dyDescent="0.2">
      <c r="A55" t="s">
        <v>13</v>
      </c>
      <c r="B55" t="s">
        <v>190</v>
      </c>
      <c r="C55" t="s">
        <v>15</v>
      </c>
      <c r="D55" t="s">
        <v>191</v>
      </c>
      <c r="E55" t="s">
        <v>192</v>
      </c>
      <c r="F55">
        <v>786</v>
      </c>
      <c r="G55" t="s">
        <v>193</v>
      </c>
      <c r="H55">
        <v>830</v>
      </c>
      <c r="I55" t="s">
        <v>19</v>
      </c>
      <c r="J55" t="s">
        <v>19</v>
      </c>
      <c r="K55">
        <v>529</v>
      </c>
      <c r="L55" t="s">
        <v>20</v>
      </c>
      <c r="M55" t="s">
        <v>21</v>
      </c>
      <c r="N55" s="1">
        <v>25</v>
      </c>
      <c r="O55">
        <f>K55/N55</f>
        <v>21.16</v>
      </c>
      <c r="P55">
        <f>(H55*330*2/1000)*0.05</f>
        <v>27.39</v>
      </c>
      <c r="Q55">
        <f>P55/N55</f>
        <v>1.0956000000000001</v>
      </c>
      <c r="R55" s="3" t="str">
        <f>LEFT(D55,1) &amp; TEXT(RIGHT(D55, LEN(D55)-1), "00")</f>
        <v>E06</v>
      </c>
      <c r="S55" t="s">
        <v>190</v>
      </c>
      <c r="T55">
        <v>830</v>
      </c>
    </row>
    <row r="56" spans="1:20" x14ac:dyDescent="0.2">
      <c r="A56" t="s">
        <v>13</v>
      </c>
      <c r="B56" t="s">
        <v>222</v>
      </c>
      <c r="C56" t="s">
        <v>15</v>
      </c>
      <c r="D56" t="s">
        <v>223</v>
      </c>
      <c r="E56" t="s">
        <v>224</v>
      </c>
      <c r="F56">
        <v>2143</v>
      </c>
      <c r="G56" t="s">
        <v>225</v>
      </c>
      <c r="H56">
        <v>2187</v>
      </c>
      <c r="I56" t="s">
        <v>19</v>
      </c>
      <c r="J56" t="s">
        <v>19</v>
      </c>
      <c r="K56">
        <v>1192</v>
      </c>
      <c r="L56" t="s">
        <v>20</v>
      </c>
      <c r="M56" t="s">
        <v>21</v>
      </c>
      <c r="N56" s="1">
        <v>40</v>
      </c>
      <c r="O56">
        <f>K56/N56</f>
        <v>29.8</v>
      </c>
      <c r="P56">
        <f>(H56*330*2/1000)*0.05</f>
        <v>72.171000000000006</v>
      </c>
      <c r="Q56">
        <f>P56/N56</f>
        <v>1.8042750000000001</v>
      </c>
      <c r="R56" s="3" t="str">
        <f>LEFT(D56,1) &amp; TEXT(RIGHT(D56, LEN(D56)-1), "00")</f>
        <v>E07</v>
      </c>
      <c r="S56" t="s">
        <v>222</v>
      </c>
      <c r="T56">
        <v>2187</v>
      </c>
    </row>
    <row r="57" spans="1:20" x14ac:dyDescent="0.2">
      <c r="A57" t="s">
        <v>13</v>
      </c>
      <c r="B57" t="s">
        <v>254</v>
      </c>
      <c r="C57" t="s">
        <v>15</v>
      </c>
      <c r="D57" t="s">
        <v>255</v>
      </c>
      <c r="E57" t="s">
        <v>256</v>
      </c>
      <c r="F57">
        <v>327</v>
      </c>
      <c r="G57" t="s">
        <v>257</v>
      </c>
      <c r="H57">
        <v>371</v>
      </c>
      <c r="I57" t="s">
        <v>19</v>
      </c>
      <c r="J57" t="s">
        <v>19</v>
      </c>
      <c r="K57">
        <v>751</v>
      </c>
      <c r="L57" t="s">
        <v>20</v>
      </c>
      <c r="M57" t="s">
        <v>21</v>
      </c>
      <c r="N57" s="1">
        <v>10</v>
      </c>
      <c r="O57">
        <f>K57/N57</f>
        <v>75.099999999999994</v>
      </c>
      <c r="P57">
        <f>(H57*330*2/1000)*0.05</f>
        <v>12.243000000000002</v>
      </c>
      <c r="Q57">
        <f>P57/N57</f>
        <v>1.2243000000000002</v>
      </c>
      <c r="R57" s="3" t="str">
        <f>LEFT(D57,1) &amp; TEXT(RIGHT(D57, LEN(D57)-1), "00")</f>
        <v>E08</v>
      </c>
      <c r="S57" t="s">
        <v>254</v>
      </c>
      <c r="T57">
        <v>371</v>
      </c>
    </row>
    <row r="58" spans="1:20" x14ac:dyDescent="0.2">
      <c r="A58" t="s">
        <v>13</v>
      </c>
      <c r="B58" t="s">
        <v>286</v>
      </c>
      <c r="C58" t="s">
        <v>15</v>
      </c>
      <c r="D58" t="s">
        <v>287</v>
      </c>
      <c r="E58" t="s">
        <v>288</v>
      </c>
      <c r="F58">
        <v>729</v>
      </c>
      <c r="G58" t="s">
        <v>289</v>
      </c>
      <c r="H58">
        <v>773</v>
      </c>
      <c r="I58" t="s">
        <v>19</v>
      </c>
      <c r="J58" t="s">
        <v>19</v>
      </c>
      <c r="K58">
        <v>1021</v>
      </c>
      <c r="L58" t="s">
        <v>20</v>
      </c>
      <c r="M58" t="s">
        <v>21</v>
      </c>
      <c r="N58" s="1">
        <v>25</v>
      </c>
      <c r="O58">
        <f>K58/N58</f>
        <v>40.840000000000003</v>
      </c>
      <c r="P58">
        <f>(H58*330*2/1000)*0.05</f>
        <v>25.509</v>
      </c>
      <c r="Q58">
        <f>P58/N58</f>
        <v>1.0203599999999999</v>
      </c>
      <c r="R58" s="3" t="str">
        <f>LEFT(D58,1) &amp; TEXT(RIGHT(D58, LEN(D58)-1), "00")</f>
        <v>E09</v>
      </c>
      <c r="S58" t="s">
        <v>286</v>
      </c>
      <c r="T58">
        <v>773</v>
      </c>
    </row>
    <row r="59" spans="1:20" x14ac:dyDescent="0.2">
      <c r="A59" t="s">
        <v>13</v>
      </c>
      <c r="B59" t="s">
        <v>318</v>
      </c>
      <c r="C59" t="s">
        <v>15</v>
      </c>
      <c r="D59" t="s">
        <v>319</v>
      </c>
      <c r="E59" t="s">
        <v>320</v>
      </c>
      <c r="F59">
        <v>300</v>
      </c>
      <c r="G59" t="s">
        <v>321</v>
      </c>
      <c r="H59">
        <v>344</v>
      </c>
      <c r="I59" t="s">
        <v>19</v>
      </c>
      <c r="J59" t="s">
        <v>19</v>
      </c>
      <c r="K59">
        <v>793</v>
      </c>
      <c r="L59" t="s">
        <v>20</v>
      </c>
      <c r="M59" t="s">
        <v>21</v>
      </c>
      <c r="N59" s="1">
        <v>10</v>
      </c>
      <c r="O59">
        <f>K59/N59</f>
        <v>79.3</v>
      </c>
      <c r="P59">
        <f>(H59*330*2/1000)*0.05</f>
        <v>11.352</v>
      </c>
      <c r="Q59">
        <f>P59/N59</f>
        <v>1.1352</v>
      </c>
      <c r="R59" s="3" t="str">
        <f>LEFT(D59,1) &amp; TEXT(RIGHT(D59, LEN(D59)-1), "00")</f>
        <v>E10</v>
      </c>
      <c r="S59" t="s">
        <v>318</v>
      </c>
      <c r="T59">
        <v>344</v>
      </c>
    </row>
    <row r="60" spans="1:20" x14ac:dyDescent="0.2">
      <c r="A60" t="s">
        <v>13</v>
      </c>
      <c r="B60" t="s">
        <v>350</v>
      </c>
      <c r="C60" t="s">
        <v>15</v>
      </c>
      <c r="D60" t="s">
        <v>351</v>
      </c>
      <c r="E60" t="s">
        <v>352</v>
      </c>
      <c r="F60">
        <v>465</v>
      </c>
      <c r="G60" t="s">
        <v>353</v>
      </c>
      <c r="H60">
        <v>509</v>
      </c>
      <c r="I60" t="s">
        <v>19</v>
      </c>
      <c r="J60" t="s">
        <v>19</v>
      </c>
      <c r="K60">
        <v>992</v>
      </c>
      <c r="L60" t="s">
        <v>20</v>
      </c>
      <c r="M60" t="s">
        <v>21</v>
      </c>
      <c r="N60" s="1">
        <v>15</v>
      </c>
      <c r="O60">
        <f>K60/N60</f>
        <v>66.13333333333334</v>
      </c>
      <c r="P60">
        <f>(H60*330*2/1000)*0.05</f>
        <v>16.797000000000001</v>
      </c>
      <c r="Q60">
        <f>P60/N60</f>
        <v>1.1198000000000001</v>
      </c>
      <c r="R60" s="3" t="str">
        <f>LEFT(D60,1) &amp; TEXT(RIGHT(D60, LEN(D60)-1), "00")</f>
        <v>E11</v>
      </c>
      <c r="S60" t="s">
        <v>350</v>
      </c>
      <c r="T60">
        <v>509</v>
      </c>
    </row>
    <row r="61" spans="1:20" x14ac:dyDescent="0.2">
      <c r="A61" t="s">
        <v>13</v>
      </c>
      <c r="B61" t="s">
        <v>381</v>
      </c>
      <c r="C61" t="s">
        <v>15</v>
      </c>
      <c r="D61" t="s">
        <v>382</v>
      </c>
      <c r="E61" t="s">
        <v>383</v>
      </c>
      <c r="F61">
        <v>300</v>
      </c>
      <c r="G61" t="s">
        <v>384</v>
      </c>
      <c r="H61">
        <v>344</v>
      </c>
      <c r="I61" t="s">
        <v>19</v>
      </c>
      <c r="J61" t="s">
        <v>19</v>
      </c>
      <c r="K61">
        <v>1002</v>
      </c>
      <c r="L61" t="s">
        <v>20</v>
      </c>
      <c r="M61" t="s">
        <v>21</v>
      </c>
      <c r="N61" s="1">
        <v>10</v>
      </c>
      <c r="O61">
        <f>K61/N61</f>
        <v>100.2</v>
      </c>
      <c r="P61">
        <f>(H61*330*2/1000)*0.05</f>
        <v>11.352</v>
      </c>
      <c r="Q61">
        <f>P61/N61</f>
        <v>1.1352</v>
      </c>
      <c r="R61" s="3" t="str">
        <f>LEFT(D61,1) &amp; TEXT(RIGHT(D61, LEN(D61)-1), "00")</f>
        <v>E12</v>
      </c>
      <c r="S61" t="s">
        <v>381</v>
      </c>
      <c r="T61">
        <v>344</v>
      </c>
    </row>
    <row r="62" spans="1:20" x14ac:dyDescent="0.2">
      <c r="A62" t="s">
        <v>13</v>
      </c>
      <c r="B62" t="s">
        <v>38</v>
      </c>
      <c r="C62" t="s">
        <v>15</v>
      </c>
      <c r="D62" t="s">
        <v>14</v>
      </c>
      <c r="E62" t="s">
        <v>39</v>
      </c>
      <c r="F62">
        <v>336</v>
      </c>
      <c r="G62" t="s">
        <v>40</v>
      </c>
      <c r="H62">
        <v>380</v>
      </c>
      <c r="I62" t="s">
        <v>19</v>
      </c>
      <c r="J62" t="s">
        <v>19</v>
      </c>
      <c r="K62">
        <v>953</v>
      </c>
      <c r="L62" t="s">
        <v>20</v>
      </c>
      <c r="M62" t="s">
        <v>21</v>
      </c>
      <c r="N62" s="1">
        <v>10</v>
      </c>
      <c r="O62">
        <f>K62/N62</f>
        <v>95.3</v>
      </c>
      <c r="P62">
        <f>(H62*330*2/1000)*0.05</f>
        <v>12.540000000000001</v>
      </c>
      <c r="Q62">
        <f>P62/N62</f>
        <v>1.254</v>
      </c>
      <c r="R62" s="3" t="str">
        <f>LEFT(D62,1) &amp; TEXT(RIGHT(D62, LEN(D62)-1), "00")</f>
        <v>F01</v>
      </c>
      <c r="S62" t="s">
        <v>38</v>
      </c>
      <c r="T62">
        <v>380</v>
      </c>
    </row>
    <row r="63" spans="1:20" x14ac:dyDescent="0.2">
      <c r="A63" t="s">
        <v>13</v>
      </c>
      <c r="B63" t="s">
        <v>69</v>
      </c>
      <c r="C63" t="s">
        <v>15</v>
      </c>
      <c r="D63" t="s">
        <v>22</v>
      </c>
      <c r="E63" t="s">
        <v>70</v>
      </c>
      <c r="F63">
        <v>609</v>
      </c>
      <c r="G63" t="s">
        <v>71</v>
      </c>
      <c r="H63">
        <v>653</v>
      </c>
      <c r="I63" t="s">
        <v>19</v>
      </c>
      <c r="J63" t="s">
        <v>19</v>
      </c>
      <c r="K63">
        <v>1036</v>
      </c>
      <c r="L63" t="s">
        <v>20</v>
      </c>
      <c r="M63" t="s">
        <v>21</v>
      </c>
      <c r="N63" s="1">
        <v>15</v>
      </c>
      <c r="O63">
        <f>K63/N63</f>
        <v>69.066666666666663</v>
      </c>
      <c r="P63">
        <f>(H63*330*2/1000)*0.05</f>
        <v>21.549000000000003</v>
      </c>
      <c r="Q63">
        <f>P63/N63</f>
        <v>1.4366000000000001</v>
      </c>
      <c r="R63" s="3" t="str">
        <f>LEFT(D63,1) &amp; TEXT(RIGHT(D63, LEN(D63)-1), "00")</f>
        <v>F02</v>
      </c>
      <c r="S63" t="s">
        <v>69</v>
      </c>
      <c r="T63">
        <v>653</v>
      </c>
    </row>
    <row r="64" spans="1:20" x14ac:dyDescent="0.2">
      <c r="A64" t="s">
        <v>13</v>
      </c>
      <c r="B64" t="s">
        <v>100</v>
      </c>
      <c r="C64" t="s">
        <v>15</v>
      </c>
      <c r="D64" t="s">
        <v>26</v>
      </c>
      <c r="E64" t="s">
        <v>101</v>
      </c>
      <c r="F64">
        <v>1795</v>
      </c>
      <c r="G64" t="s">
        <v>102</v>
      </c>
      <c r="H64">
        <v>1839</v>
      </c>
      <c r="I64" t="s">
        <v>19</v>
      </c>
      <c r="J64" t="s">
        <v>19</v>
      </c>
      <c r="K64">
        <v>1751</v>
      </c>
      <c r="L64" t="s">
        <v>20</v>
      </c>
      <c r="M64" t="s">
        <v>21</v>
      </c>
      <c r="N64" s="1">
        <v>40</v>
      </c>
      <c r="O64">
        <f>K64/N64</f>
        <v>43.774999999999999</v>
      </c>
      <c r="P64">
        <f>(H64*330*2/1000)*0.05</f>
        <v>60.687000000000005</v>
      </c>
      <c r="Q64">
        <f>P64/N64</f>
        <v>1.5171750000000002</v>
      </c>
      <c r="R64" s="3" t="str">
        <f>LEFT(D64,1) &amp; TEXT(RIGHT(D64, LEN(D64)-1), "00")</f>
        <v>F03</v>
      </c>
      <c r="S64" t="s">
        <v>100</v>
      </c>
      <c r="T64">
        <v>1839</v>
      </c>
    </row>
    <row r="65" spans="1:20" x14ac:dyDescent="0.2">
      <c r="A65" t="s">
        <v>13</v>
      </c>
      <c r="B65" t="s">
        <v>131</v>
      </c>
      <c r="C65" t="s">
        <v>15</v>
      </c>
      <c r="D65" t="s">
        <v>132</v>
      </c>
      <c r="E65" t="s">
        <v>133</v>
      </c>
      <c r="F65">
        <v>447</v>
      </c>
      <c r="G65" t="s">
        <v>134</v>
      </c>
      <c r="H65">
        <v>491</v>
      </c>
      <c r="I65" t="s">
        <v>19</v>
      </c>
      <c r="J65" t="s">
        <v>19</v>
      </c>
      <c r="K65">
        <v>910</v>
      </c>
      <c r="L65" t="s">
        <v>20</v>
      </c>
      <c r="M65" t="s">
        <v>21</v>
      </c>
      <c r="N65" s="1">
        <v>15</v>
      </c>
      <c r="O65">
        <f>K65/N65</f>
        <v>60.666666666666664</v>
      </c>
      <c r="P65">
        <f>(H65*330*2/1000)*0.05</f>
        <v>16.202999999999999</v>
      </c>
      <c r="Q65">
        <f>P65/N65</f>
        <v>1.0802</v>
      </c>
      <c r="R65" s="3" t="str">
        <f>LEFT(D65,1) &amp; TEXT(RIGHT(D65, LEN(D65)-1), "00")</f>
        <v>F04</v>
      </c>
      <c r="S65" t="s">
        <v>131</v>
      </c>
      <c r="T65">
        <v>491</v>
      </c>
    </row>
    <row r="66" spans="1:20" x14ac:dyDescent="0.2">
      <c r="A66" t="s">
        <v>13</v>
      </c>
      <c r="B66" t="s">
        <v>163</v>
      </c>
      <c r="C66" t="s">
        <v>15</v>
      </c>
      <c r="D66" t="s">
        <v>34</v>
      </c>
      <c r="E66" t="s">
        <v>164</v>
      </c>
      <c r="F66">
        <v>363</v>
      </c>
      <c r="G66" t="s">
        <v>165</v>
      </c>
      <c r="H66">
        <v>407</v>
      </c>
      <c r="I66" t="s">
        <v>19</v>
      </c>
      <c r="J66" t="s">
        <v>19</v>
      </c>
      <c r="K66">
        <v>886</v>
      </c>
      <c r="L66" t="s">
        <v>20</v>
      </c>
      <c r="M66" t="s">
        <v>21</v>
      </c>
      <c r="N66" s="1">
        <v>10</v>
      </c>
      <c r="O66">
        <f>K66/N66</f>
        <v>88.6</v>
      </c>
      <c r="P66">
        <f>(H66*330*2/1000)*0.05</f>
        <v>13.431000000000001</v>
      </c>
      <c r="Q66">
        <f>P66/N66</f>
        <v>1.3431000000000002</v>
      </c>
      <c r="R66" s="3" t="str">
        <f>LEFT(D66,1) &amp; TEXT(RIGHT(D66, LEN(D66)-1), "00")</f>
        <v>F05</v>
      </c>
      <c r="S66" t="s">
        <v>163</v>
      </c>
      <c r="T66">
        <v>407</v>
      </c>
    </row>
    <row r="67" spans="1:20" x14ac:dyDescent="0.2">
      <c r="A67" t="s">
        <v>13</v>
      </c>
      <c r="B67" t="s">
        <v>194</v>
      </c>
      <c r="C67" t="s">
        <v>15</v>
      </c>
      <c r="D67" t="s">
        <v>195</v>
      </c>
      <c r="E67" t="s">
        <v>196</v>
      </c>
      <c r="F67">
        <v>1486</v>
      </c>
      <c r="G67" t="s">
        <v>197</v>
      </c>
      <c r="H67">
        <v>1530</v>
      </c>
      <c r="I67" t="s">
        <v>19</v>
      </c>
      <c r="J67" t="s">
        <v>19</v>
      </c>
      <c r="K67">
        <v>1354</v>
      </c>
      <c r="L67" t="s">
        <v>20</v>
      </c>
      <c r="M67" t="s">
        <v>21</v>
      </c>
      <c r="N67" s="1">
        <v>40</v>
      </c>
      <c r="O67">
        <f>K67/N67</f>
        <v>33.85</v>
      </c>
      <c r="P67">
        <f>(H67*330*2/1000)*0.05</f>
        <v>50.49</v>
      </c>
      <c r="Q67">
        <f>P67/N67</f>
        <v>1.2622500000000001</v>
      </c>
      <c r="R67" s="3" t="str">
        <f>LEFT(D67,1) &amp; TEXT(RIGHT(D67, LEN(D67)-1), "00")</f>
        <v>F06</v>
      </c>
      <c r="S67" t="s">
        <v>194</v>
      </c>
      <c r="T67">
        <v>1530</v>
      </c>
    </row>
    <row r="68" spans="1:20" x14ac:dyDescent="0.2">
      <c r="A68" t="s">
        <v>13</v>
      </c>
      <c r="B68" t="s">
        <v>226</v>
      </c>
      <c r="C68" t="s">
        <v>15</v>
      </c>
      <c r="D68" t="s">
        <v>227</v>
      </c>
      <c r="E68" t="s">
        <v>228</v>
      </c>
      <c r="F68">
        <v>2248</v>
      </c>
      <c r="G68" t="s">
        <v>229</v>
      </c>
      <c r="H68">
        <v>2292</v>
      </c>
      <c r="I68" t="s">
        <v>19</v>
      </c>
      <c r="J68" t="s">
        <v>19</v>
      </c>
      <c r="K68">
        <v>1921</v>
      </c>
      <c r="L68" t="s">
        <v>20</v>
      </c>
      <c r="M68" t="s">
        <v>21</v>
      </c>
      <c r="N68" s="1">
        <v>40</v>
      </c>
      <c r="O68">
        <f>K68/N68</f>
        <v>48.024999999999999</v>
      </c>
      <c r="P68">
        <f>(H68*330*2/1000)*0.05</f>
        <v>75.63600000000001</v>
      </c>
      <c r="Q68">
        <f>P68/N68</f>
        <v>1.8909000000000002</v>
      </c>
      <c r="R68" s="3" t="str">
        <f>LEFT(D68,1) &amp; TEXT(RIGHT(D68, LEN(D68)-1), "00")</f>
        <v>F07</v>
      </c>
      <c r="S68" t="s">
        <v>226</v>
      </c>
      <c r="T68">
        <v>2292</v>
      </c>
    </row>
    <row r="69" spans="1:20" x14ac:dyDescent="0.2">
      <c r="A69" t="s">
        <v>13</v>
      </c>
      <c r="B69" t="s">
        <v>258</v>
      </c>
      <c r="C69" t="s">
        <v>15</v>
      </c>
      <c r="D69" t="s">
        <v>259</v>
      </c>
      <c r="E69" t="s">
        <v>260</v>
      </c>
      <c r="F69">
        <v>300</v>
      </c>
      <c r="G69" t="s">
        <v>261</v>
      </c>
      <c r="H69">
        <v>344</v>
      </c>
      <c r="I69" t="s">
        <v>19</v>
      </c>
      <c r="J69" t="s">
        <v>19</v>
      </c>
      <c r="K69">
        <v>664</v>
      </c>
      <c r="L69" t="s">
        <v>20</v>
      </c>
      <c r="M69" t="s">
        <v>21</v>
      </c>
      <c r="N69" s="1">
        <v>10</v>
      </c>
      <c r="O69">
        <f>K69/N69</f>
        <v>66.400000000000006</v>
      </c>
      <c r="P69">
        <f>(H69*330*2/1000)*0.05</f>
        <v>11.352</v>
      </c>
      <c r="Q69">
        <f>P69/N69</f>
        <v>1.1352</v>
      </c>
      <c r="R69" s="3" t="str">
        <f>LEFT(D69,1) &amp; TEXT(RIGHT(D69, LEN(D69)-1), "00")</f>
        <v>F08</v>
      </c>
      <c r="S69" t="s">
        <v>258</v>
      </c>
      <c r="T69">
        <v>344</v>
      </c>
    </row>
    <row r="70" spans="1:20" x14ac:dyDescent="0.2">
      <c r="A70" t="s">
        <v>13</v>
      </c>
      <c r="B70" t="s">
        <v>290</v>
      </c>
      <c r="C70" t="s">
        <v>15</v>
      </c>
      <c r="D70" t="s">
        <v>291</v>
      </c>
      <c r="E70" t="s">
        <v>292</v>
      </c>
      <c r="F70">
        <v>810</v>
      </c>
      <c r="G70" t="s">
        <v>293</v>
      </c>
      <c r="H70">
        <v>854</v>
      </c>
      <c r="I70" t="s">
        <v>19</v>
      </c>
      <c r="J70" t="s">
        <v>19</v>
      </c>
      <c r="K70">
        <v>728</v>
      </c>
      <c r="L70" t="s">
        <v>20</v>
      </c>
      <c r="M70" t="s">
        <v>21</v>
      </c>
      <c r="N70" s="1">
        <v>25</v>
      </c>
      <c r="O70">
        <f>K70/N70</f>
        <v>29.12</v>
      </c>
      <c r="P70">
        <f>(H70*330*2/1000)*0.05</f>
        <v>28.182000000000002</v>
      </c>
      <c r="Q70">
        <f>P70/N70</f>
        <v>1.1272800000000001</v>
      </c>
      <c r="R70" s="3" t="str">
        <f>LEFT(D70,1) &amp; TEXT(RIGHT(D70, LEN(D70)-1), "00")</f>
        <v>F09</v>
      </c>
      <c r="S70" t="s">
        <v>290</v>
      </c>
      <c r="T70">
        <v>854</v>
      </c>
    </row>
    <row r="71" spans="1:20" x14ac:dyDescent="0.2">
      <c r="A71" t="s">
        <v>13</v>
      </c>
      <c r="B71" t="s">
        <v>322</v>
      </c>
      <c r="C71" t="s">
        <v>15</v>
      </c>
      <c r="D71" t="s">
        <v>323</v>
      </c>
      <c r="E71" t="s">
        <v>324</v>
      </c>
      <c r="F71">
        <v>456</v>
      </c>
      <c r="G71" t="s">
        <v>325</v>
      </c>
      <c r="H71">
        <v>500</v>
      </c>
      <c r="I71" t="s">
        <v>19</v>
      </c>
      <c r="J71" t="s">
        <v>19</v>
      </c>
      <c r="K71">
        <v>985</v>
      </c>
      <c r="L71" t="s">
        <v>20</v>
      </c>
      <c r="M71" t="s">
        <v>21</v>
      </c>
      <c r="N71" s="1">
        <v>15</v>
      </c>
      <c r="O71">
        <f>K71/N71</f>
        <v>65.666666666666671</v>
      </c>
      <c r="P71">
        <f>(H71*330*2/1000)*0.05</f>
        <v>16.5</v>
      </c>
      <c r="Q71">
        <f>P71/N71</f>
        <v>1.1000000000000001</v>
      </c>
      <c r="R71" s="3" t="str">
        <f>LEFT(D71,1) &amp; TEXT(RIGHT(D71, LEN(D71)-1), "00")</f>
        <v>F10</v>
      </c>
      <c r="S71" t="s">
        <v>322</v>
      </c>
      <c r="T71">
        <v>500</v>
      </c>
    </row>
    <row r="72" spans="1:20" x14ac:dyDescent="0.2">
      <c r="A72" t="s">
        <v>13</v>
      </c>
      <c r="B72" t="s">
        <v>354</v>
      </c>
      <c r="C72" t="s">
        <v>15</v>
      </c>
      <c r="D72" t="s">
        <v>65</v>
      </c>
      <c r="E72" t="s">
        <v>355</v>
      </c>
      <c r="F72">
        <v>339</v>
      </c>
      <c r="G72" t="s">
        <v>356</v>
      </c>
      <c r="H72">
        <v>383</v>
      </c>
      <c r="I72" t="s">
        <v>19</v>
      </c>
      <c r="J72" t="s">
        <v>19</v>
      </c>
      <c r="K72">
        <v>896</v>
      </c>
      <c r="L72" t="s">
        <v>20</v>
      </c>
      <c r="M72" t="s">
        <v>21</v>
      </c>
      <c r="N72" s="1">
        <v>10</v>
      </c>
      <c r="O72">
        <f>K72/N72</f>
        <v>89.6</v>
      </c>
      <c r="P72">
        <f>(H72*330*2/1000)*0.05</f>
        <v>12.639000000000001</v>
      </c>
      <c r="Q72">
        <f>P72/N72</f>
        <v>1.2639</v>
      </c>
      <c r="R72" s="3" t="str">
        <f>LEFT(D72,1) &amp; TEXT(RIGHT(D72, LEN(D72)-1), "00")</f>
        <v>F11</v>
      </c>
      <c r="S72" t="s">
        <v>354</v>
      </c>
      <c r="T72">
        <v>383</v>
      </c>
    </row>
    <row r="73" spans="1:20" x14ac:dyDescent="0.2">
      <c r="A73" t="s">
        <v>13</v>
      </c>
      <c r="B73" t="s">
        <v>385</v>
      </c>
      <c r="C73" t="s">
        <v>15</v>
      </c>
      <c r="D73" t="s">
        <v>386</v>
      </c>
      <c r="E73" t="s">
        <v>387</v>
      </c>
      <c r="F73">
        <v>300</v>
      </c>
      <c r="G73" t="s">
        <v>388</v>
      </c>
      <c r="H73">
        <v>344</v>
      </c>
      <c r="I73" t="s">
        <v>19</v>
      </c>
      <c r="J73" t="s">
        <v>19</v>
      </c>
      <c r="K73">
        <v>831</v>
      </c>
      <c r="L73" t="s">
        <v>20</v>
      </c>
      <c r="M73" t="s">
        <v>21</v>
      </c>
      <c r="N73" s="1">
        <v>10</v>
      </c>
      <c r="O73">
        <f>K73/N73</f>
        <v>83.1</v>
      </c>
      <c r="P73">
        <f>(H73*330*2/1000)*0.05</f>
        <v>11.352</v>
      </c>
      <c r="Q73">
        <f>P73/N73</f>
        <v>1.1352</v>
      </c>
      <c r="R73" s="3" t="str">
        <f>LEFT(D73,1) &amp; TEXT(RIGHT(D73, LEN(D73)-1), "00")</f>
        <v>F12</v>
      </c>
      <c r="S73" t="s">
        <v>385</v>
      </c>
      <c r="T73">
        <v>344</v>
      </c>
    </row>
    <row r="74" spans="1:20" x14ac:dyDescent="0.2">
      <c r="A74" t="s">
        <v>13</v>
      </c>
      <c r="B74" t="s">
        <v>41</v>
      </c>
      <c r="C74" t="s">
        <v>15</v>
      </c>
      <c r="D74" t="s">
        <v>42</v>
      </c>
      <c r="E74" t="s">
        <v>43</v>
      </c>
      <c r="F74">
        <v>435</v>
      </c>
      <c r="G74" t="s">
        <v>44</v>
      </c>
      <c r="H74">
        <v>479</v>
      </c>
      <c r="I74" t="s">
        <v>19</v>
      </c>
      <c r="J74" t="s">
        <v>19</v>
      </c>
      <c r="K74">
        <v>995</v>
      </c>
      <c r="L74" t="s">
        <v>20</v>
      </c>
      <c r="M74" t="s">
        <v>21</v>
      </c>
      <c r="N74" s="1">
        <v>15</v>
      </c>
      <c r="O74">
        <f>K74/N74</f>
        <v>66.333333333333329</v>
      </c>
      <c r="P74">
        <f>(H74*330*2/1000)*0.05</f>
        <v>15.807</v>
      </c>
      <c r="Q74">
        <f>P74/N74</f>
        <v>1.0538000000000001</v>
      </c>
      <c r="R74" s="3" t="str">
        <f>LEFT(D74,1) &amp; TEXT(RIGHT(D74, LEN(D74)-1), "00")</f>
        <v>G01</v>
      </c>
      <c r="S74" t="s">
        <v>41</v>
      </c>
      <c r="T74">
        <v>479</v>
      </c>
    </row>
    <row r="75" spans="1:20" x14ac:dyDescent="0.2">
      <c r="A75" t="s">
        <v>13</v>
      </c>
      <c r="B75" t="s">
        <v>72</v>
      </c>
      <c r="C75" t="s">
        <v>15</v>
      </c>
      <c r="D75" t="s">
        <v>73</v>
      </c>
      <c r="E75" t="s">
        <v>74</v>
      </c>
      <c r="F75">
        <v>1304</v>
      </c>
      <c r="G75" t="s">
        <v>75</v>
      </c>
      <c r="H75">
        <v>1348</v>
      </c>
      <c r="I75" t="s">
        <v>19</v>
      </c>
      <c r="J75" t="s">
        <v>19</v>
      </c>
      <c r="K75">
        <v>1654</v>
      </c>
      <c r="L75" t="s">
        <v>20</v>
      </c>
      <c r="M75" t="s">
        <v>21</v>
      </c>
      <c r="N75" s="1">
        <v>25</v>
      </c>
      <c r="O75">
        <f>K75/N75</f>
        <v>66.16</v>
      </c>
      <c r="P75">
        <f>(H75*330*2/1000)*0.05</f>
        <v>44.484000000000002</v>
      </c>
      <c r="Q75">
        <f>P75/N75</f>
        <v>1.7793600000000001</v>
      </c>
      <c r="R75" s="3" t="str">
        <f>LEFT(D75,1) &amp; TEXT(RIGHT(D75, LEN(D75)-1), "00")</f>
        <v>G02</v>
      </c>
      <c r="S75" t="s">
        <v>72</v>
      </c>
      <c r="T75">
        <v>1348</v>
      </c>
    </row>
    <row r="76" spans="1:20" x14ac:dyDescent="0.2">
      <c r="A76" t="s">
        <v>13</v>
      </c>
      <c r="B76" t="s">
        <v>103</v>
      </c>
      <c r="C76" t="s">
        <v>15</v>
      </c>
      <c r="D76" t="s">
        <v>104</v>
      </c>
      <c r="E76" t="s">
        <v>105</v>
      </c>
      <c r="F76">
        <v>561</v>
      </c>
      <c r="G76" t="s">
        <v>106</v>
      </c>
      <c r="H76">
        <v>605</v>
      </c>
      <c r="I76" t="s">
        <v>19</v>
      </c>
      <c r="J76" t="s">
        <v>19</v>
      </c>
      <c r="K76">
        <v>959</v>
      </c>
      <c r="L76" t="s">
        <v>20</v>
      </c>
      <c r="M76" t="s">
        <v>21</v>
      </c>
      <c r="N76" s="1">
        <v>15</v>
      </c>
      <c r="O76">
        <f>K76/N76</f>
        <v>63.93333333333333</v>
      </c>
      <c r="P76">
        <f>(H76*330*2/1000)*0.05</f>
        <v>19.965000000000003</v>
      </c>
      <c r="Q76">
        <f>P76/N76</f>
        <v>1.3310000000000002</v>
      </c>
      <c r="R76" s="3" t="str">
        <f>LEFT(D76,1) &amp; TEXT(RIGHT(D76, LEN(D76)-1), "00")</f>
        <v>G03</v>
      </c>
      <c r="S76" t="s">
        <v>103</v>
      </c>
      <c r="T76">
        <v>605</v>
      </c>
    </row>
    <row r="77" spans="1:20" x14ac:dyDescent="0.2">
      <c r="A77" t="s">
        <v>13</v>
      </c>
      <c r="B77" t="s">
        <v>135</v>
      </c>
      <c r="C77" t="s">
        <v>15</v>
      </c>
      <c r="D77" t="s">
        <v>136</v>
      </c>
      <c r="E77" t="s">
        <v>137</v>
      </c>
      <c r="F77">
        <v>300</v>
      </c>
      <c r="G77" t="s">
        <v>138</v>
      </c>
      <c r="H77">
        <v>344</v>
      </c>
      <c r="I77" t="s">
        <v>19</v>
      </c>
      <c r="J77" t="s">
        <v>19</v>
      </c>
      <c r="K77">
        <v>935</v>
      </c>
      <c r="L77" t="s">
        <v>20</v>
      </c>
      <c r="M77" t="s">
        <v>21</v>
      </c>
      <c r="N77" s="1">
        <v>10</v>
      </c>
      <c r="O77">
        <f>K77/N77</f>
        <v>93.5</v>
      </c>
      <c r="P77">
        <f>(H77*330*2/1000)*0.05</f>
        <v>11.352</v>
      </c>
      <c r="Q77">
        <f>P77/N77</f>
        <v>1.1352</v>
      </c>
      <c r="R77" s="3" t="str">
        <f>LEFT(D77,1) &amp; TEXT(RIGHT(D77, LEN(D77)-1), "00")</f>
        <v>G04</v>
      </c>
      <c r="S77" t="s">
        <v>135</v>
      </c>
      <c r="T77">
        <v>344</v>
      </c>
    </row>
    <row r="78" spans="1:20" x14ac:dyDescent="0.2">
      <c r="A78" t="s">
        <v>13</v>
      </c>
      <c r="B78" t="s">
        <v>166</v>
      </c>
      <c r="C78" t="s">
        <v>15</v>
      </c>
      <c r="D78" t="s">
        <v>167</v>
      </c>
      <c r="E78" t="s">
        <v>168</v>
      </c>
      <c r="F78">
        <v>300</v>
      </c>
      <c r="G78" t="s">
        <v>169</v>
      </c>
      <c r="H78">
        <v>344</v>
      </c>
      <c r="I78" t="s">
        <v>19</v>
      </c>
      <c r="J78" t="s">
        <v>19</v>
      </c>
      <c r="K78">
        <v>717</v>
      </c>
      <c r="L78" t="s">
        <v>20</v>
      </c>
      <c r="M78" t="s">
        <v>21</v>
      </c>
      <c r="N78" s="1">
        <v>10</v>
      </c>
      <c r="O78">
        <f>K78/N78</f>
        <v>71.7</v>
      </c>
      <c r="P78">
        <f>(H78*330*2/1000)*0.05</f>
        <v>11.352</v>
      </c>
      <c r="Q78">
        <f>P78/N78</f>
        <v>1.1352</v>
      </c>
      <c r="R78" s="3" t="str">
        <f>LEFT(D78,1) &amp; TEXT(RIGHT(D78, LEN(D78)-1), "00")</f>
        <v>G05</v>
      </c>
      <c r="S78" t="s">
        <v>166</v>
      </c>
      <c r="T78">
        <v>344</v>
      </c>
    </row>
    <row r="79" spans="1:20" x14ac:dyDescent="0.2">
      <c r="A79" t="s">
        <v>13</v>
      </c>
      <c r="B79" t="s">
        <v>198</v>
      </c>
      <c r="C79" t="s">
        <v>15</v>
      </c>
      <c r="D79" t="s">
        <v>199</v>
      </c>
      <c r="E79" t="s">
        <v>200</v>
      </c>
      <c r="F79">
        <v>733</v>
      </c>
      <c r="G79" t="s">
        <v>201</v>
      </c>
      <c r="H79">
        <v>777</v>
      </c>
      <c r="I79" t="s">
        <v>19</v>
      </c>
      <c r="J79" t="s">
        <v>19</v>
      </c>
      <c r="K79">
        <v>749</v>
      </c>
      <c r="L79" t="s">
        <v>20</v>
      </c>
      <c r="M79" t="s">
        <v>21</v>
      </c>
      <c r="N79" s="1">
        <v>25</v>
      </c>
      <c r="O79">
        <f>K79/N79</f>
        <v>29.96</v>
      </c>
      <c r="P79">
        <f>(H79*330*2/1000)*0.05</f>
        <v>25.641000000000005</v>
      </c>
      <c r="Q79">
        <f>P79/N79</f>
        <v>1.0256400000000001</v>
      </c>
      <c r="R79" s="3" t="str">
        <f>LEFT(D79,1) &amp; TEXT(RIGHT(D79, LEN(D79)-1), "00")</f>
        <v>G06</v>
      </c>
      <c r="S79" t="s">
        <v>198</v>
      </c>
      <c r="T79">
        <v>777</v>
      </c>
    </row>
    <row r="80" spans="1:20" x14ac:dyDescent="0.2">
      <c r="A80" t="s">
        <v>13</v>
      </c>
      <c r="B80" t="s">
        <v>230</v>
      </c>
      <c r="C80" t="s">
        <v>15</v>
      </c>
      <c r="D80" t="s">
        <v>231</v>
      </c>
      <c r="E80" t="s">
        <v>232</v>
      </c>
      <c r="F80">
        <v>300</v>
      </c>
      <c r="G80" t="s">
        <v>233</v>
      </c>
      <c r="H80">
        <v>344</v>
      </c>
      <c r="I80" t="s">
        <v>19</v>
      </c>
      <c r="J80" t="s">
        <v>19</v>
      </c>
      <c r="K80">
        <v>899</v>
      </c>
      <c r="L80" t="s">
        <v>20</v>
      </c>
      <c r="M80" t="s">
        <v>21</v>
      </c>
      <c r="N80" s="1">
        <v>10</v>
      </c>
      <c r="O80">
        <f>K80/N80</f>
        <v>89.9</v>
      </c>
      <c r="P80">
        <f>(H80*330*2/1000)*0.05</f>
        <v>11.352</v>
      </c>
      <c r="Q80">
        <f>P80/N80</f>
        <v>1.1352</v>
      </c>
      <c r="R80" s="3" t="str">
        <f>LEFT(D80,1) &amp; TEXT(RIGHT(D80, LEN(D80)-1), "00")</f>
        <v>G07</v>
      </c>
      <c r="S80" t="s">
        <v>230</v>
      </c>
      <c r="T80">
        <v>344</v>
      </c>
    </row>
    <row r="81" spans="1:20" x14ac:dyDescent="0.2">
      <c r="A81" t="s">
        <v>13</v>
      </c>
      <c r="B81" t="s">
        <v>262</v>
      </c>
      <c r="C81" t="s">
        <v>15</v>
      </c>
      <c r="D81" t="s">
        <v>263</v>
      </c>
      <c r="E81" t="s">
        <v>264</v>
      </c>
      <c r="F81">
        <v>300</v>
      </c>
      <c r="G81" t="s">
        <v>265</v>
      </c>
      <c r="H81">
        <v>344</v>
      </c>
      <c r="I81" t="s">
        <v>19</v>
      </c>
      <c r="J81" t="s">
        <v>19</v>
      </c>
      <c r="K81">
        <v>786</v>
      </c>
      <c r="L81" t="s">
        <v>20</v>
      </c>
      <c r="M81" t="s">
        <v>21</v>
      </c>
      <c r="N81" s="1">
        <v>10</v>
      </c>
      <c r="O81">
        <f>K81/N81</f>
        <v>78.599999999999994</v>
      </c>
      <c r="P81">
        <f>(H81*330*2/1000)*0.05</f>
        <v>11.352</v>
      </c>
      <c r="Q81">
        <f>P81/N81</f>
        <v>1.1352</v>
      </c>
      <c r="R81" s="3" t="str">
        <f>LEFT(D81,1) &amp; TEXT(RIGHT(D81, LEN(D81)-1), "00")</f>
        <v>G08</v>
      </c>
      <c r="S81" t="s">
        <v>262</v>
      </c>
      <c r="T81">
        <v>344</v>
      </c>
    </row>
    <row r="82" spans="1:20" x14ac:dyDescent="0.2">
      <c r="A82" t="s">
        <v>13</v>
      </c>
      <c r="B82" t="s">
        <v>294</v>
      </c>
      <c r="C82" t="s">
        <v>15</v>
      </c>
      <c r="D82" t="s">
        <v>295</v>
      </c>
      <c r="E82" t="s">
        <v>296</v>
      </c>
      <c r="F82">
        <v>1443</v>
      </c>
      <c r="G82" t="s">
        <v>297</v>
      </c>
      <c r="H82">
        <v>1487</v>
      </c>
      <c r="I82" t="s">
        <v>19</v>
      </c>
      <c r="J82" t="s">
        <v>19</v>
      </c>
      <c r="K82">
        <v>1499</v>
      </c>
      <c r="L82" t="s">
        <v>20</v>
      </c>
      <c r="M82" t="s">
        <v>21</v>
      </c>
      <c r="N82" s="1">
        <v>25</v>
      </c>
      <c r="O82">
        <f>K82/N82</f>
        <v>59.96</v>
      </c>
      <c r="P82">
        <f>(H82*330*2/1000)*0.05</f>
        <v>49.070999999999998</v>
      </c>
      <c r="Q82">
        <f>P82/N82</f>
        <v>1.9628399999999999</v>
      </c>
      <c r="R82" s="3" t="str">
        <f>LEFT(D82,1) &amp; TEXT(RIGHT(D82, LEN(D82)-1), "00")</f>
        <v>G09</v>
      </c>
      <c r="S82" t="s">
        <v>294</v>
      </c>
      <c r="T82">
        <v>1487</v>
      </c>
    </row>
    <row r="83" spans="1:20" x14ac:dyDescent="0.2">
      <c r="A83" t="s">
        <v>13</v>
      </c>
      <c r="B83" t="s">
        <v>326</v>
      </c>
      <c r="C83" t="s">
        <v>15</v>
      </c>
      <c r="D83" t="s">
        <v>327</v>
      </c>
      <c r="E83" t="s">
        <v>328</v>
      </c>
      <c r="F83">
        <v>300</v>
      </c>
      <c r="G83" t="s">
        <v>329</v>
      </c>
      <c r="H83">
        <v>344</v>
      </c>
      <c r="I83" t="s">
        <v>19</v>
      </c>
      <c r="J83" t="s">
        <v>19</v>
      </c>
      <c r="K83">
        <v>682</v>
      </c>
      <c r="L83" t="s">
        <v>20</v>
      </c>
      <c r="M83" t="s">
        <v>21</v>
      </c>
      <c r="N83" s="1">
        <v>10</v>
      </c>
      <c r="O83">
        <f>K83/N83</f>
        <v>68.2</v>
      </c>
      <c r="P83">
        <f>(H83*330*2/1000)*0.05</f>
        <v>11.352</v>
      </c>
      <c r="Q83">
        <f>P83/N83</f>
        <v>1.1352</v>
      </c>
      <c r="R83" s="3" t="str">
        <f>LEFT(D83,1) &amp; TEXT(RIGHT(D83, LEN(D83)-1), "00")</f>
        <v>G10</v>
      </c>
      <c r="S83" t="s">
        <v>326</v>
      </c>
      <c r="T83">
        <v>344</v>
      </c>
    </row>
    <row r="84" spans="1:20" x14ac:dyDescent="0.2">
      <c r="A84" t="s">
        <v>13</v>
      </c>
      <c r="B84" t="s">
        <v>357</v>
      </c>
      <c r="C84" t="s">
        <v>15</v>
      </c>
      <c r="D84" t="s">
        <v>358</v>
      </c>
      <c r="E84" t="s">
        <v>359</v>
      </c>
      <c r="F84">
        <v>300</v>
      </c>
      <c r="G84" t="s">
        <v>360</v>
      </c>
      <c r="H84">
        <v>344</v>
      </c>
      <c r="I84" t="s">
        <v>19</v>
      </c>
      <c r="J84" t="s">
        <v>19</v>
      </c>
      <c r="K84">
        <v>742</v>
      </c>
      <c r="L84" t="s">
        <v>20</v>
      </c>
      <c r="M84" t="s">
        <v>21</v>
      </c>
      <c r="N84" s="1">
        <v>10</v>
      </c>
      <c r="O84">
        <f>K84/N84</f>
        <v>74.2</v>
      </c>
      <c r="P84">
        <f>(H84*330*2/1000)*0.05</f>
        <v>11.352</v>
      </c>
      <c r="Q84">
        <f>P84/N84</f>
        <v>1.1352</v>
      </c>
      <c r="R84" s="3" t="str">
        <f>LEFT(D84,1) &amp; TEXT(RIGHT(D84, LEN(D84)-1), "00")</f>
        <v>G11</v>
      </c>
      <c r="S84" t="s">
        <v>357</v>
      </c>
      <c r="T84">
        <v>344</v>
      </c>
    </row>
    <row r="85" spans="1:20" x14ac:dyDescent="0.2">
      <c r="A85" t="s">
        <v>13</v>
      </c>
      <c r="B85" t="s">
        <v>389</v>
      </c>
      <c r="C85" t="s">
        <v>15</v>
      </c>
      <c r="D85" t="s">
        <v>390</v>
      </c>
      <c r="E85" t="s">
        <v>391</v>
      </c>
      <c r="F85">
        <v>300</v>
      </c>
      <c r="G85" t="s">
        <v>392</v>
      </c>
      <c r="H85">
        <v>344</v>
      </c>
      <c r="I85" t="s">
        <v>19</v>
      </c>
      <c r="J85" t="s">
        <v>19</v>
      </c>
      <c r="K85">
        <v>841</v>
      </c>
      <c r="L85" t="s">
        <v>20</v>
      </c>
      <c r="M85" t="s">
        <v>21</v>
      </c>
      <c r="N85" s="1">
        <v>10</v>
      </c>
      <c r="O85">
        <f>K85/N85</f>
        <v>84.1</v>
      </c>
      <c r="P85">
        <f>(H85*330*2/1000)*0.05</f>
        <v>11.352</v>
      </c>
      <c r="Q85">
        <f>P85/N85</f>
        <v>1.1352</v>
      </c>
      <c r="R85" s="3" t="str">
        <f>LEFT(D85,1) &amp; TEXT(RIGHT(D85, LEN(D85)-1), "00")</f>
        <v>G12</v>
      </c>
      <c r="S85" t="s">
        <v>389</v>
      </c>
      <c r="T85">
        <v>344</v>
      </c>
    </row>
    <row r="86" spans="1:20" x14ac:dyDescent="0.2">
      <c r="A86" t="s">
        <v>13</v>
      </c>
      <c r="B86" t="s">
        <v>45</v>
      </c>
      <c r="C86" t="s">
        <v>15</v>
      </c>
      <c r="D86" t="s">
        <v>46</v>
      </c>
      <c r="E86" t="s">
        <v>47</v>
      </c>
      <c r="F86">
        <v>777</v>
      </c>
      <c r="G86" t="s">
        <v>48</v>
      </c>
      <c r="H86">
        <v>821</v>
      </c>
      <c r="I86" t="s">
        <v>19</v>
      </c>
      <c r="J86" t="s">
        <v>19</v>
      </c>
      <c r="K86">
        <v>712</v>
      </c>
      <c r="L86" t="s">
        <v>20</v>
      </c>
      <c r="M86" t="s">
        <v>21</v>
      </c>
      <c r="N86" s="1">
        <v>25</v>
      </c>
      <c r="O86">
        <f>K86/N86</f>
        <v>28.48</v>
      </c>
      <c r="P86">
        <f>(H86*330*2/1000)*0.05</f>
        <v>27.093000000000004</v>
      </c>
      <c r="Q86">
        <f>P86/N86</f>
        <v>1.0837200000000002</v>
      </c>
      <c r="R86" s="3" t="str">
        <f>LEFT(D86,1) &amp; TEXT(RIGHT(D86, LEN(D86)-1), "00")</f>
        <v>H01</v>
      </c>
      <c r="S86" t="s">
        <v>45</v>
      </c>
      <c r="T86">
        <v>821</v>
      </c>
    </row>
    <row r="87" spans="1:20" x14ac:dyDescent="0.2">
      <c r="A87" t="s">
        <v>13</v>
      </c>
      <c r="B87" t="s">
        <v>76</v>
      </c>
      <c r="C87" t="s">
        <v>15</v>
      </c>
      <c r="D87" t="s">
        <v>77</v>
      </c>
      <c r="E87" t="s">
        <v>78</v>
      </c>
      <c r="F87">
        <v>584</v>
      </c>
      <c r="G87" t="s">
        <v>79</v>
      </c>
      <c r="H87">
        <v>628</v>
      </c>
      <c r="I87" t="s">
        <v>19</v>
      </c>
      <c r="J87" t="s">
        <v>19</v>
      </c>
      <c r="K87">
        <v>819</v>
      </c>
      <c r="L87" t="s">
        <v>20</v>
      </c>
      <c r="M87" t="s">
        <v>21</v>
      </c>
      <c r="N87" s="1">
        <v>15</v>
      </c>
      <c r="O87">
        <f>K87/N87</f>
        <v>54.6</v>
      </c>
      <c r="P87">
        <f>(H87*330*2/1000)*0.05</f>
        <v>20.724000000000004</v>
      </c>
      <c r="Q87">
        <f>P87/N87</f>
        <v>1.3816000000000002</v>
      </c>
      <c r="R87" s="3" t="str">
        <f>LEFT(D87,1) &amp; TEXT(RIGHT(D87, LEN(D87)-1), "00")</f>
        <v>H02</v>
      </c>
      <c r="S87" t="s">
        <v>76</v>
      </c>
      <c r="T87">
        <v>628</v>
      </c>
    </row>
    <row r="88" spans="1:20" x14ac:dyDescent="0.2">
      <c r="A88" t="s">
        <v>13</v>
      </c>
      <c r="B88" t="s">
        <v>107</v>
      </c>
      <c r="C88" t="s">
        <v>15</v>
      </c>
      <c r="D88" t="s">
        <v>108</v>
      </c>
      <c r="E88" t="s">
        <v>109</v>
      </c>
      <c r="F88">
        <v>842</v>
      </c>
      <c r="G88" t="s">
        <v>110</v>
      </c>
      <c r="H88">
        <v>886</v>
      </c>
      <c r="I88" t="s">
        <v>19</v>
      </c>
      <c r="J88" t="s">
        <v>19</v>
      </c>
      <c r="K88">
        <v>655</v>
      </c>
      <c r="L88" t="s">
        <v>20</v>
      </c>
      <c r="M88" t="s">
        <v>21</v>
      </c>
      <c r="N88" s="1">
        <v>25</v>
      </c>
      <c r="O88">
        <f>K88/N88</f>
        <v>26.2</v>
      </c>
      <c r="P88">
        <f>(H88*330*2/1000)*0.05</f>
        <v>29.238</v>
      </c>
      <c r="Q88">
        <f>P88/N88</f>
        <v>1.1695199999999999</v>
      </c>
      <c r="R88" s="3" t="str">
        <f>LEFT(D88,1) &amp; TEXT(RIGHT(D88, LEN(D88)-1), "00")</f>
        <v>H03</v>
      </c>
      <c r="S88" t="s">
        <v>107</v>
      </c>
      <c r="T88">
        <v>886</v>
      </c>
    </row>
    <row r="89" spans="1:20" x14ac:dyDescent="0.2">
      <c r="A89" t="s">
        <v>13</v>
      </c>
      <c r="B89" t="s">
        <v>139</v>
      </c>
      <c r="C89" t="s">
        <v>15</v>
      </c>
      <c r="D89" t="s">
        <v>140</v>
      </c>
      <c r="E89" t="s">
        <v>141</v>
      </c>
      <c r="F89">
        <v>300</v>
      </c>
      <c r="G89" t="s">
        <v>142</v>
      </c>
      <c r="H89">
        <v>344</v>
      </c>
      <c r="I89" t="s">
        <v>19</v>
      </c>
      <c r="J89" t="s">
        <v>19</v>
      </c>
      <c r="K89">
        <v>919</v>
      </c>
      <c r="L89" t="s">
        <v>20</v>
      </c>
      <c r="M89" t="s">
        <v>21</v>
      </c>
      <c r="N89" s="1">
        <v>10</v>
      </c>
      <c r="O89">
        <f>K89/N89</f>
        <v>91.9</v>
      </c>
      <c r="P89">
        <f>(H89*330*2/1000)*0.05</f>
        <v>11.352</v>
      </c>
      <c r="Q89">
        <f>P89/N89</f>
        <v>1.1352</v>
      </c>
      <c r="R89" s="3" t="str">
        <f>LEFT(D89,1) &amp; TEXT(RIGHT(D89, LEN(D89)-1), "00")</f>
        <v>H04</v>
      </c>
      <c r="S89" t="s">
        <v>139</v>
      </c>
      <c r="T89">
        <v>344</v>
      </c>
    </row>
    <row r="90" spans="1:20" x14ac:dyDescent="0.2">
      <c r="A90" t="s">
        <v>13</v>
      </c>
      <c r="B90" t="s">
        <v>170</v>
      </c>
      <c r="C90" t="s">
        <v>15</v>
      </c>
      <c r="D90" t="s">
        <v>171</v>
      </c>
      <c r="E90" t="s">
        <v>172</v>
      </c>
      <c r="F90">
        <v>300</v>
      </c>
      <c r="G90" t="s">
        <v>173</v>
      </c>
      <c r="H90">
        <v>344</v>
      </c>
      <c r="I90" t="s">
        <v>19</v>
      </c>
      <c r="J90" t="s">
        <v>19</v>
      </c>
      <c r="K90">
        <v>949</v>
      </c>
      <c r="L90" t="s">
        <v>20</v>
      </c>
      <c r="M90" t="s">
        <v>21</v>
      </c>
      <c r="N90" s="1">
        <v>10</v>
      </c>
      <c r="O90">
        <f>K90/N90</f>
        <v>94.9</v>
      </c>
      <c r="P90">
        <f>(H90*330*2/1000)*0.05</f>
        <v>11.352</v>
      </c>
      <c r="Q90">
        <f>P90/N90</f>
        <v>1.1352</v>
      </c>
      <c r="R90" s="3" t="str">
        <f>LEFT(D90,1) &amp; TEXT(RIGHT(D90, LEN(D90)-1), "00")</f>
        <v>H05</v>
      </c>
      <c r="S90" t="s">
        <v>170</v>
      </c>
      <c r="T90">
        <v>344</v>
      </c>
    </row>
    <row r="91" spans="1:20" x14ac:dyDescent="0.2">
      <c r="A91" t="s">
        <v>13</v>
      </c>
      <c r="B91" t="s">
        <v>202</v>
      </c>
      <c r="C91" t="s">
        <v>15</v>
      </c>
      <c r="D91" t="s">
        <v>203</v>
      </c>
      <c r="E91" t="s">
        <v>204</v>
      </c>
      <c r="F91">
        <v>1486</v>
      </c>
      <c r="G91" t="s">
        <v>205</v>
      </c>
      <c r="H91">
        <v>1530</v>
      </c>
      <c r="I91" t="s">
        <v>19</v>
      </c>
      <c r="J91" t="s">
        <v>19</v>
      </c>
      <c r="K91">
        <v>1429</v>
      </c>
      <c r="L91" t="s">
        <v>20</v>
      </c>
      <c r="M91" t="s">
        <v>21</v>
      </c>
      <c r="N91" s="1">
        <v>40</v>
      </c>
      <c r="O91">
        <f>K91/N91</f>
        <v>35.725000000000001</v>
      </c>
      <c r="P91">
        <f>(H91*330*2/1000)*0.05</f>
        <v>50.49</v>
      </c>
      <c r="Q91">
        <f>P91/N91</f>
        <v>1.2622500000000001</v>
      </c>
      <c r="R91" s="3" t="str">
        <f>LEFT(D91,1) &amp; TEXT(RIGHT(D91, LEN(D91)-1), "00")</f>
        <v>H06</v>
      </c>
      <c r="S91" t="s">
        <v>202</v>
      </c>
      <c r="T91">
        <v>1530</v>
      </c>
    </row>
    <row r="92" spans="1:20" x14ac:dyDescent="0.2">
      <c r="A92" t="s">
        <v>13</v>
      </c>
      <c r="B92" t="s">
        <v>234</v>
      </c>
      <c r="C92" t="s">
        <v>15</v>
      </c>
      <c r="D92" t="s">
        <v>235</v>
      </c>
      <c r="E92" t="s">
        <v>236</v>
      </c>
      <c r="F92">
        <v>300</v>
      </c>
      <c r="G92" t="s">
        <v>237</v>
      </c>
      <c r="H92">
        <v>344</v>
      </c>
      <c r="I92" t="s">
        <v>19</v>
      </c>
      <c r="J92" t="s">
        <v>19</v>
      </c>
      <c r="K92">
        <v>883</v>
      </c>
      <c r="L92" t="s">
        <v>20</v>
      </c>
      <c r="M92" t="s">
        <v>21</v>
      </c>
      <c r="N92" s="1">
        <v>10</v>
      </c>
      <c r="O92">
        <f>K92/N92</f>
        <v>88.3</v>
      </c>
      <c r="P92">
        <f>(H92*330*2/1000)*0.05</f>
        <v>11.352</v>
      </c>
      <c r="Q92">
        <f>P92/N92</f>
        <v>1.1352</v>
      </c>
      <c r="R92" s="3" t="str">
        <f>LEFT(D92,1) &amp; TEXT(RIGHT(D92, LEN(D92)-1), "00")</f>
        <v>H07</v>
      </c>
      <c r="S92" t="s">
        <v>234</v>
      </c>
      <c r="T92">
        <v>344</v>
      </c>
    </row>
    <row r="93" spans="1:20" x14ac:dyDescent="0.2">
      <c r="A93" t="s">
        <v>13</v>
      </c>
      <c r="B93" t="s">
        <v>266</v>
      </c>
      <c r="C93" t="s">
        <v>15</v>
      </c>
      <c r="D93" t="s">
        <v>267</v>
      </c>
      <c r="E93" t="s">
        <v>268</v>
      </c>
      <c r="F93">
        <v>384</v>
      </c>
      <c r="G93" t="s">
        <v>269</v>
      </c>
      <c r="H93">
        <v>428</v>
      </c>
      <c r="I93" t="s">
        <v>19</v>
      </c>
      <c r="J93" t="s">
        <v>19</v>
      </c>
      <c r="K93">
        <v>920</v>
      </c>
      <c r="L93" t="s">
        <v>20</v>
      </c>
      <c r="M93" t="s">
        <v>21</v>
      </c>
      <c r="N93" s="1">
        <v>10</v>
      </c>
      <c r="O93">
        <f>K93/N93</f>
        <v>92</v>
      </c>
      <c r="P93">
        <f>(H93*330*2/1000)*0.05</f>
        <v>14.124000000000002</v>
      </c>
      <c r="Q93">
        <f>P93/N93</f>
        <v>1.4124000000000003</v>
      </c>
      <c r="R93" s="3" t="str">
        <f>LEFT(D93,1) &amp; TEXT(RIGHT(D93, LEN(D93)-1), "00")</f>
        <v>H08</v>
      </c>
      <c r="S93" t="s">
        <v>266</v>
      </c>
      <c r="T93">
        <v>428</v>
      </c>
    </row>
    <row r="94" spans="1:20" x14ac:dyDescent="0.2">
      <c r="A94" t="s">
        <v>13</v>
      </c>
      <c r="B94" t="s">
        <v>298</v>
      </c>
      <c r="C94" t="s">
        <v>15</v>
      </c>
      <c r="D94" t="s">
        <v>299</v>
      </c>
      <c r="E94" t="s">
        <v>300</v>
      </c>
      <c r="F94">
        <v>561</v>
      </c>
      <c r="G94" t="s">
        <v>301</v>
      </c>
      <c r="H94">
        <v>605</v>
      </c>
      <c r="I94" t="s">
        <v>19</v>
      </c>
      <c r="J94" t="s">
        <v>19</v>
      </c>
      <c r="K94">
        <v>854</v>
      </c>
      <c r="L94" t="s">
        <v>20</v>
      </c>
      <c r="M94" t="s">
        <v>21</v>
      </c>
      <c r="N94" s="1">
        <v>15</v>
      </c>
      <c r="O94">
        <f>K94/N94</f>
        <v>56.93333333333333</v>
      </c>
      <c r="P94">
        <f>(H94*330*2/1000)*0.05</f>
        <v>19.965000000000003</v>
      </c>
      <c r="Q94">
        <f>P94/N94</f>
        <v>1.3310000000000002</v>
      </c>
      <c r="R94" s="3" t="str">
        <f>LEFT(D94,1) &amp; TEXT(RIGHT(D94, LEN(D94)-1), "00")</f>
        <v>H09</v>
      </c>
      <c r="S94" t="s">
        <v>298</v>
      </c>
      <c r="T94">
        <v>605</v>
      </c>
    </row>
    <row r="95" spans="1:20" x14ac:dyDescent="0.2">
      <c r="A95" t="s">
        <v>13</v>
      </c>
      <c r="B95" t="s">
        <v>330</v>
      </c>
      <c r="C95" t="s">
        <v>15</v>
      </c>
      <c r="D95" t="s">
        <v>331</v>
      </c>
      <c r="E95" t="s">
        <v>332</v>
      </c>
      <c r="F95">
        <v>339</v>
      </c>
      <c r="G95" t="s">
        <v>333</v>
      </c>
      <c r="H95">
        <v>383</v>
      </c>
      <c r="I95" t="s">
        <v>19</v>
      </c>
      <c r="J95" t="s">
        <v>19</v>
      </c>
      <c r="K95">
        <v>567</v>
      </c>
      <c r="L95" t="s">
        <v>20</v>
      </c>
      <c r="M95" t="s">
        <v>21</v>
      </c>
      <c r="N95" s="1">
        <v>10</v>
      </c>
      <c r="O95">
        <f>K95/N95</f>
        <v>56.7</v>
      </c>
      <c r="P95">
        <f>(H95*330*2/1000)*0.05</f>
        <v>12.639000000000001</v>
      </c>
      <c r="Q95">
        <f>P95/N95</f>
        <v>1.2639</v>
      </c>
      <c r="R95" s="3" t="str">
        <f>LEFT(D95,1) &amp; TEXT(RIGHT(D95, LEN(D95)-1), "00")</f>
        <v>H10</v>
      </c>
      <c r="S95" t="s">
        <v>330</v>
      </c>
      <c r="T95">
        <v>383</v>
      </c>
    </row>
    <row r="96" spans="1:20" x14ac:dyDescent="0.2">
      <c r="A96" t="s">
        <v>13</v>
      </c>
      <c r="B96" t="s">
        <v>361</v>
      </c>
      <c r="C96" t="s">
        <v>15</v>
      </c>
      <c r="D96" t="s">
        <v>362</v>
      </c>
      <c r="E96" t="s">
        <v>363</v>
      </c>
      <c r="F96">
        <v>300</v>
      </c>
      <c r="G96" t="s">
        <v>364</v>
      </c>
      <c r="H96">
        <v>344</v>
      </c>
      <c r="I96" t="s">
        <v>19</v>
      </c>
      <c r="J96" t="s">
        <v>19</v>
      </c>
      <c r="K96">
        <v>823</v>
      </c>
      <c r="L96" t="s">
        <v>20</v>
      </c>
      <c r="M96" t="s">
        <v>21</v>
      </c>
      <c r="N96" s="1">
        <v>10</v>
      </c>
      <c r="O96">
        <f>K96/N96</f>
        <v>82.3</v>
      </c>
      <c r="P96">
        <f>(H96*330*2/1000)*0.05</f>
        <v>11.352</v>
      </c>
      <c r="Q96">
        <f>P96/N96</f>
        <v>1.1352</v>
      </c>
      <c r="R96" s="3" t="str">
        <f>LEFT(D96,1) &amp; TEXT(RIGHT(D96, LEN(D96)-1), "00")</f>
        <v>H11</v>
      </c>
      <c r="S96" t="s">
        <v>361</v>
      </c>
      <c r="T96">
        <v>344</v>
      </c>
    </row>
    <row r="97" spans="1:20" x14ac:dyDescent="0.2">
      <c r="A97" t="s">
        <v>13</v>
      </c>
      <c r="B97" t="s">
        <v>393</v>
      </c>
      <c r="C97" t="s">
        <v>15</v>
      </c>
      <c r="D97" t="s">
        <v>394</v>
      </c>
      <c r="E97" t="s">
        <v>395</v>
      </c>
      <c r="F97">
        <v>300</v>
      </c>
      <c r="G97" t="s">
        <v>396</v>
      </c>
      <c r="H97">
        <v>344</v>
      </c>
      <c r="I97" t="s">
        <v>19</v>
      </c>
      <c r="J97" t="s">
        <v>19</v>
      </c>
      <c r="K97">
        <v>844</v>
      </c>
      <c r="L97" t="s">
        <v>20</v>
      </c>
      <c r="M97" t="s">
        <v>21</v>
      </c>
      <c r="N97" s="1">
        <v>10</v>
      </c>
      <c r="O97">
        <f>K97/N97</f>
        <v>84.4</v>
      </c>
      <c r="P97">
        <f>(H97*330*2/1000)*0.05</f>
        <v>11.352</v>
      </c>
      <c r="Q97">
        <f>P97/N97</f>
        <v>1.1352</v>
      </c>
      <c r="R97" s="3" t="str">
        <f>LEFT(D97,1) &amp; TEXT(RIGHT(D97, LEN(D97)-1), "00")</f>
        <v>H12</v>
      </c>
      <c r="S97" t="s">
        <v>393</v>
      </c>
      <c r="T97">
        <v>344</v>
      </c>
    </row>
  </sheetData>
  <autoFilter ref="A1:R97" xr:uid="{4D52DC88-D466-304C-860A-E7936B94279A}">
    <sortState xmlns:xlrd2="http://schemas.microsoft.com/office/spreadsheetml/2017/richdata2" ref="A2:R97">
      <sortCondition ref="R1:R97"/>
    </sortState>
  </autoFilter>
  <pageMargins left="0.7" right="0.7" top="0.75" bottom="0.75" header="0.3" footer="0.3"/>
  <pageSetup paperSize="9" scale="3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platemap_pSHPs0921B1498017B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Sek</cp:lastModifiedBy>
  <cp:lastPrinted>2026-10-05T00:35:17Z</cp:lastPrinted>
  <dcterms:created xsi:type="dcterms:W3CDTF">2026-10-05T00:25:30Z</dcterms:created>
  <dcterms:modified xsi:type="dcterms:W3CDTF">2026-10-05T00:35:23Z</dcterms:modified>
</cp:coreProperties>
</file>