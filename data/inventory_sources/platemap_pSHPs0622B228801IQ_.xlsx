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kkevin/Library/CloudStorage/Nextcloud-sek0002@nc․sek-lab․com/Work/2026/cloning/3CAPER/"/>
    </mc:Choice>
  </mc:AlternateContent>
  <xr:revisionPtr revIDLastSave="0" documentId="13_ncr:1_{D4A0F1DC-0664-274C-9F7C-01E68DB7416B}" xr6:coauthVersionLast="47" xr6:coauthVersionMax="47" xr10:uidLastSave="{00000000-0000-0000-0000-000000000000}"/>
  <bookViews>
    <workbookView xWindow="0" yWindow="760" windowWidth="30240" windowHeight="18880" xr2:uid="{92A9C647-5027-2247-81C5-2FBF38943FF4}"/>
  </bookViews>
  <sheets>
    <sheet name="platemap_pSHPs0622B228801IQ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2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" i="1"/>
  <c r="N4" i="1"/>
  <c r="N5" i="1"/>
  <c r="N2" i="1"/>
</calcChain>
</file>

<file path=xl/sharedStrings.xml><?xml version="1.0" encoding="utf-8"?>
<sst xmlns="http://schemas.openxmlformats.org/spreadsheetml/2006/main" count="322" uniqueCount="156">
  <si>
    <t>Product Type</t>
  </si>
  <si>
    <t>Name</t>
  </si>
  <si>
    <t>Plate ID</t>
  </si>
  <si>
    <t>Well Location</t>
  </si>
  <si>
    <t>Insert Sequence</t>
  </si>
  <si>
    <t>Insert Length</t>
  </si>
  <si>
    <t>Construct Sequence (Insert + Adapters)</t>
  </si>
  <si>
    <t>Construct Length (Insert + Adapters)</t>
  </si>
  <si>
    <t>Assembly QC</t>
  </si>
  <si>
    <t>Yield QC</t>
  </si>
  <si>
    <t>Yield (ng)</t>
  </si>
  <si>
    <t>Order #</t>
  </si>
  <si>
    <t>Conc (ng/uL)</t>
  </si>
  <si>
    <t>H2O</t>
  </si>
  <si>
    <t>Gene Fragments with adapters</t>
  </si>
  <si>
    <t>A1-U6-CTCF01-8mer</t>
  </si>
  <si>
    <t>pSHPs0622B228801IQ</t>
  </si>
  <si>
    <t>A1</t>
  </si>
  <si>
    <t>CGTCTCATTGTGGAAAGGACGAAACACCGCTAGGCTTCGAATAAGCCAAGTTTAAGAGCTATGCTGGAAACAGCATAGCAAGTTTAAATAAGGCTAGTCCGTTATCAACTTGAAAAAGTGGCACCGAGTCGGTGCTTTTTTTCTAGGCTTCGAATAAGCCAATGGTAGGCAAGGAACAAATGTTCAATCTTGATAGAACTAGGCTTCGAATAAGCACGTAGCTCAATGGTATGAAACTTAATAGTCTTCTCACCATTCTTTAATTTTGTAGACCCATTGGCTTATTCGAAGCCTAGTAGTCAATCGTACATGGTCAGGATCCGCCCGAGGAGACG</t>
  </si>
  <si>
    <t>CAATCCGCCCTCACTACAACCGCGTCTCATTGTGGAAAGGACGAAACACCGCTAGGCTTCGAATAAGCCAAGTTTAAGAGCTATGCTGGAAACAGCATAGCAAGTTTAAATAAGGCTAGTCCGTTATCAACTTGAAAAAGTGGCACCGAGTCGGTGCTTTTTTTCTAGGCTTCGAATAAGCCAATGGTAGGCAAGGAACAAATGTTCAATCTTGATAGAACTAGGCTTCGAATAAGCACGTAGCTCAATGGTATGAAACTTAATAGTCTTCTCACCATTCTTTAATTTTGTAGACCCATTGGCTTATTCGAAGCCTAGTAGTCAATCGTACATGGTCAGGATCCGCCCGAGGAGACGCTACTCTGGCGTCGATGAGGGA</t>
  </si>
  <si>
    <t>Pass</t>
  </si>
  <si>
    <t>Q-676657</t>
  </si>
  <si>
    <t>A2-U6-B2M</t>
  </si>
  <si>
    <t>B1</t>
  </si>
  <si>
    <t>CGTCTCACCGAGAGGGCCTATTTCCCATGATTCCTTCATATTTGCATATACGATACAAGGCTGTTAGAGAGATAATTAGAATTAATTTGACTGTAAACACAAAGATATTAGTACAAAATACGTGACGTAGAAAGTAATAATTTCTTGGGTAGTTTGCAGTTTTAAAATTATGTTTTAAAATGGACTATCATATGCTTACCGTAACTTGAAAGTATTTCGATTTCTTGGCTTTATATATCTTGTGGAAAGGACGAAACACCGAAGTCAACTTCAATGTCGGAGTTTAAGAGCTATGCTGGAAACAGCATAGCAAGTTTAAATAAGGCTAGTCCGTTATCAACTTGAAAAAGTGGCACCGAGTCGGTGCTTTTTTTGGGAGGAGACG</t>
  </si>
  <si>
    <t>CAATCCGCCCTCACTACAACCGCGTCTCACCGAGAGGGCCTATTTCCCATGATTCCTTCATATTTGCATATACGATACAAGGCTGTTAGAGAGATAATTAGAATTAATTTGACTGTAAACACAAAGATATTAGTACAAAATACGTGACGTAGAAAGTAATAATTTCTTGGGTAGTTTGCAGTTTTAAAATTATGTTTTAAAATGGACTATCATATGCTTACCGTAACTTGAAAGTATTTCGATTTCTTGGCTTTATATATCTTGTGGAAAGGACGAAACACCGAAGTCAACTTCAATGTCGGAGTTTAAGAGCTATGCTGGAAACAGCATAGCAAGTTTAAATAAGGCTAGTCCGTTATCAACTTGAAAAAGTGGCACCGAGTCGGTGCTTTTTTTGGGAGGAGACGCTACTCTGGCGTCGATGAGGGA</t>
  </si>
  <si>
    <t>A2-U6-CTCF</t>
  </si>
  <si>
    <t>C1</t>
  </si>
  <si>
    <t>CGTCTCACCGAGAGGGCCTATTTCCCATGATTCCTTCATATTTGCATATACGATACAAGGCTGTTAGAGAGATAATTAGAATTAATTTGACTGTAAACACAAAGATATTAGTACAAAATACGTGACGTAGAAAGTAATAATTTCTTGGGTAGTTTGCAGTTTTAAAATTATGTTTTAAAATGGACTATCATATGCTTACCGTAACTTGAAAGTATTTCGATTTCTTGGCTTTATATATCTTGTGGAAAGGACGAAACACCGGAGCAAACTGCGTTATACAGGTTTAAGAGCTATGCTGGAAACAGCATAGCAAGTTTAAATAAGGCTAGTCCGTTATCAACTTGAAAAAGTGGCACCGAGTCGGTGCTTTTTTTGGGAGGAGACG</t>
  </si>
  <si>
    <t>CAATCCGCCCTCACTACAACCGCGTCTCACCGAGAGGGCCTATTTCCCATGATTCCTTCATATTTGCATATACGATACAAGGCTGTTAGAGAGATAATTAGAATTAATTTGACTGTAAACACAAAGATATTAGTACAAAATACGTGACGTAGAAAGTAATAATTTCTTGGGTAGTTTGCAGTTTTAAAATTATGTTTTAAAATGGACTATCATATGCTTACCGTAACTTGAAAGTATTTCGATTTCTTGGCTTTATATATCTTGTGGAAAGGACGAAACACCGGAGCAAACTGCGTTATACAGGTTTAAGAGCTATGCTGGAAACAGCATAGCAAGTTTAAATAAGGCTAGTCCGTTATCAACTTGAAAAAGTGGCACCGAGTCGGTGCTTTTTTTGGGAGGAGACGCTACTCTGGCGTCGATGAGGGA</t>
  </si>
  <si>
    <t>A2-U6-WAPL</t>
  </si>
  <si>
    <t>D1</t>
  </si>
  <si>
    <t>CGTCTCACCGAGAGGGCCTATTTCCCATGATTCCTTCATATTTGCATATACGATACAAGGCTGTTAGAGAGATAATTAGAATTAATTTGACTGTAAACACAAAGATATTAGTACAAAATACGTGACGTAGAAAGTAATAATTTCTTGGGTAGTTTGCAGTTTTAAAATTATGTTTTAAAATGGACTATCATATGCTTACCGTAACTTGAAAGTATTTCGATTTCTTGGCTTTATATATCTTGTGGAAAGGACGAAACACCGACCCAATGCAGAAACTACAGGTTTAAGAGCTATGCTGGAAACAGCATAGCAAGTTTAAATAAGGCTAGTCCGTTATCAACTTGAAAAAGTGGCACCGAGTCGGTGCTTTTTTTGGGAGGAGACG</t>
  </si>
  <si>
    <t>CAATCCGCCCTCACTACAACCGCGTCTCACCGAGAGGGCCTATTTCCCATGATTCCTTCATATTTGCATATACGATACAAGGCTGTTAGAGAGATAATTAGAATTAATTTGACTGTAAACACAAAGATATTAGTACAAAATACGTGACGTAGAAAGTAATAATTTCTTGGGTAGTTTGCAGTTTTAAAATTATGTTTTAAAATGGACTATCATATGCTTACCGTAACTTGAAAGTATTTCGATTTCTTGGCTTTATATATCTTGTGGAAAGGACGAAACACCGACCCAATGCAGAAACTACAGGTTTAAGAGCTATGCTGGAAACAGCATAGCAAGTTTAAATAAGGCTAGTCCGTTATCAACTTGAAAAAGTGGCACCGAGTCGGTGCTTTTTTTGGGAGGAGACGCTACTCTGGCGTCGATGAGGGA</t>
  </si>
  <si>
    <t>truncU6-B2M-CTCF01-HA</t>
  </si>
  <si>
    <t>E1</t>
  </si>
  <si>
    <t>CGTCTCATTGTGGAAAGGACGAAACACCGTAATTTCTACTAAGTGTAGATATCCATCCGACATTGAAGTTGACTAATTTCTACTAAGTGTAGATTTCCTTGCCTAAACCATACAAGCTTTTTTTTTGTCGACGAATTCTTTGTTCCTTGCCTAAACCATACAAGCTACAGTCTAGAAATAGGATTGATAGGCTATGGAAGTGAAGGAGTTTGAAGCACGTAGCTTTGTATGGTTTAGGCAAGGAACACATGTTCAATCTTGATAGAACTAGGCTAGCTTGTATGGTTTAGGCAAGGAACAAAGTCGACGAATTCGGGAGGAGACG</t>
  </si>
  <si>
    <t>CAATCCGCCCTCACTACAACCGCGTCTCATTGTGGAAAGGACGAAACACCGTAATTTCTACTAAGTGTAGATATCCATCCGACATTGAAGTTGACTAATTTCTACTAAGTGTAGATTTCCTTGCCTAAACCATACAAGCTTTTTTTTTGTCGACGAATTCTTTGTTCCTTGCCTAAACCATACAAGCTACAGTCTAGAAATAGGATTGATAGGCTATGGAAGTGAAGGAGTTTGAAGCACGTAGCTTTGTATGGTTTAGGCAAGGAACACATGTTCAATCTTGATAGAACTAGGCTAGCTTGTATGGTTTAGGCAAGGAACAAAGTCGACGAATTCGGGAGGAGACGCTACTCTGGCGTCGATGAGGGA</t>
  </si>
  <si>
    <t>truncU6-CTCF-CTCF01-HA</t>
  </si>
  <si>
    <t>F1</t>
  </si>
  <si>
    <t>CGTCTCATTGTGGAAAGGACGAAACACCGTAATTTCTACTAAGTGTAGATGGTAAACCGAGCATGACAAATATTAATTTCTACTAAGTGTAGATTTCCTTGCCTAAACCATACAAGCTTTTTTTTTGTCGACGAATTCTTTGTTCCTTGCCTAAACCATACAAGCTACAGTCTAGAAATAGGATTGATAGGCTATGGAAGTGAAGGAGTTTGAAGCACGTAGCTTTGTATGGTTTAGGCAAGGAACACATGTTCAATCTTGATAGAACTAGGCTAGCTTGTATGGTTTAGGCAAGGAACAAAGTCGACGAATTCGGGAGGAGACG</t>
  </si>
  <si>
    <t>CAATCCGCCCTCACTACAACCGCGTCTCATTGTGGAAAGGACGAAACACCGTAATTTCTACTAAGTGTAGATGGTAAACCGAGCATGACAAATATTAATTTCTACTAAGTGTAGATTTCCTTGCCTAAACCATACAAGCTTTTTTTTTGTCGACGAATTCTTTGTTCCTTGCCTAAACCATACAAGCTACAGTCTAGAAATAGGATTGATAGGCTATGGAAGTGAAGGAGTTTGAAGCACGTAGCTTTGTATGGTTTAGGCAAGGAACACATGTTCAATCTTGATAGAACTAGGCTAGCTTGTATGGTTTAGGCAAGGAACAAAGTCGACGAATTCGGGAGGAGACGCTACTCTGGCGTCGATGAGGGA</t>
  </si>
  <si>
    <t>truncU6-WAPL-CTCF01-HA</t>
  </si>
  <si>
    <t>G1</t>
  </si>
  <si>
    <t>CGTCTCATTGTGGAAAGGACGAAACACCGTAATTTCTACTAAGTGTAGATGTATTACTAGGTCGAAATCTAGTTAATTTCTACTAAGTGTAGATTTCCTTGCCTAAACCATACAAGCTTTTTTTTTGTCGACGAATTCTTTGTTCCTTGCCTAAACCATACAAGCTACAGTCTAGAAATAGGATTGATAGGCTATGGAAGTGAAGGAGTTTGAAGCACGTAGCTTTGTATGGTTTAGGCAAGGAACACATGTTCAATCTTGATAGAACTAGGCTAGCTTGTATGGTTTAGGCAAGGAACAAAGTCGACGAATTCGGGAGGAGACG</t>
  </si>
  <si>
    <t>CAATCCGCCCTCACTACAACCGCGTCTCATTGTGGAAAGGACGAAACACCGTAATTTCTACTAAGTGTAGATGTATTACTAGGTCGAAATCTAGTTAATTTCTACTAAGTGTAGATTTCCTTGCCTAAACCATACAAGCTTTTTTTTTGTCGACGAATTCTTTGTTCCTTGCCTAAACCATACAAGCTACAGTCTAGAAATAGGATTGATAGGCTATGGAAGTGAAGGAGTTTGAAGCACGTAGCTTTGTATGGTTTAGGCAAGGAACACATGTTCAATCTTGATAGAACTAGGCTAGCTTGTATGGTTTAGGCAAGGAACAAAGTCGACGAATTCGGGAGGAGACGCTACTCTGGCGTCGATGAGGGA</t>
  </si>
  <si>
    <t>B1-truncU6-B2M</t>
  </si>
  <si>
    <t>H1</t>
  </si>
  <si>
    <t>CGTCTCATTGTGGAAAGGACGAAACACCGTAATTTCTACTAAGTGTAGATATCCATCCGACATTGAAGTTGACTAATTTCTACTAAGTGTAGATTTCCTTGCCTAAACCATACAAGCTTAATTTCTACTAAGTGTAGATCTAGCTCTACAGCCTTTGCTGGAATAATTTCTACTAAGTGTAGATGGACAAGTTGAGCATGATGTTCCTTAATTTCTACTAAGTGTAGATACTACCAGGCCTCTTCCCCAGGTGTTTTTTTTCCGAGGAGACGGACAAGCATCCAATAATGACCCCTTGGA</t>
  </si>
  <si>
    <t>CAATCCGCCCTCACTACAACCGCGTCTCATTGTGGAAAGGACGAAACACCGTAATTTCTACTAAGTGTAGATATCCATCCGACATTGAAGTTGACTAATTTCTACTAAGTGTAGATTTCCTTGCCTAAACCATACAAGCTTAATTTCTACTAAGTGTAGATCTAGCTCTACAGCCTTTGCTGGAATAATTTCTACTAAGTGTAGATGGACAAGTTGAGCATGATGTTCCTTAATTTCTACTAAGTGTAGATACTACCAGGCCTCTTCCCCAGGTGTTTTTTTTCCGAGGAGACGGACAAGCATCCAATAATGACCCCTTGGACTACTCTGGCGTCGATGAGGGA</t>
  </si>
  <si>
    <t>B1-truncU6-CTCF</t>
  </si>
  <si>
    <t>A2</t>
  </si>
  <si>
    <t>CGTCTCATTGTGGAAAGGACGAAACACCGTAATTTCTACTAAGTGTAGATGGTAAACCGAGCATGACAAATATTAATTTCTACTAAGTGTAGATTTCCTTGCCTAAACCATACAAGCTTAATTTCTACTAAGTGTAGATCTAGCTCTACAGCCTTTGCTGGAATAATTTCTACTAAGTGTAGATGGACAAGTTGAGCATGATGTTCCTTAATTTCTACTAAGTGTAGATACTACCAGGCCTCTTCCCCAGGTGTTTTTTTTCCGAGGAGACGGACAAGCATCCAATAATGACCCCTTGGG</t>
  </si>
  <si>
    <t>CAATCCGCCCTCACTACAACCGCGTCTCATTGTGGAAAGGACGAAACACCGTAATTTCTACTAAGTGTAGATGGTAAACCGAGCATGACAAATATTAATTTCTACTAAGTGTAGATTTCCTTGCCTAAACCATACAAGCTTAATTTCTACTAAGTGTAGATCTAGCTCTACAGCCTTTGCTGGAATAATTTCTACTAAGTGTAGATGGACAAGTTGAGCATGATGTTCCTTAATTTCTACTAAGTGTAGATACTACCAGGCCTCTTCCCCAGGTGTTTTTTTTCCGAGGAGACGGACAAGCATCCAATAATGACCCCTTGGGCTACTCTGGCGTCGATGAGGGA</t>
  </si>
  <si>
    <t>B1-truncU6-WAPL</t>
  </si>
  <si>
    <t>B2</t>
  </si>
  <si>
    <t>CGTCTCATTGTGGAAAGGACGAAACACCGTAATTTCTACTAAGTGTAGATGTATTACTAGGTCGAAATCTAGTTAATTTCTACTAAGTGTAGATTTCCTTGCCTAAACCATACAAGCTTAATTTCTACTAAGTGTAGATCTAGCTCTACAGCCTTTGCTGGAATAATTTCTACTAAGTGTAGATGGACAAGTTGAGCATGATGTTCCTTAATTTCTACTAAGTGTAGATACTACCAGGCCTCTTCCCCAGGTGTTTTTTTTCCGAGGAGACGGACAAGCATCCAATAATGACCCCTTGGA</t>
  </si>
  <si>
    <t>CAATCCGCCCTCACTACAACCGCGTCTCATTGTGGAAAGGACGAAACACCGTAATTTCTACTAAGTGTAGATGTATTACTAGGTCGAAATCTAGTTAATTTCTACTAAGTGTAGATTTCCTTGCCTAAACCATACAAGCTTAATTTCTACTAAGTGTAGATCTAGCTCTACAGCCTTTGCTGGAATAATTTCTACTAAGTGTAGATGGACAAGTTGAGCATGATGTTCCTTAATTTCTACTAAGTGTAGATACTACCAGGCCTCTTCCCCAGGTGTTTTTTTTCCGAGGAGACGGACAAGCATCCAATAATGACCCCTTGGACTACTCTGGCGTCGATGAGGGA</t>
  </si>
  <si>
    <t>B2-HA_4xCTCF_rev</t>
  </si>
  <si>
    <t>C2</t>
  </si>
  <si>
    <t>CGTCTCCTCCCGAATTCGTCGACTTTGACTACCAGGCCTCTTCCCCAGGTGACAGAAGTAATGAGGCTGTTTTCTTTGTCACTACCAGGCCTCTTCCCCAGGTCACTAGGTGGAAGCCCTGACTCTGGGCCACCCAGCCCTCGACACTACGCTCTCATTCACCTGGGGAAGAGGCCTGGTAGTCAAAGAATTCGTCGACTTTGGGACAAGTTGAGCATGATGTTCCTGGGGGGAAATGAAATGCTTGCTCTGTGTGGGACAAGTTGAGCATGATGTTTACGGATCCCTGCAGTGCATCCGGGGAGAGAGTATGAGGGTAGTTGGGTCTGTAGTTCAGGAACATCATGCTCAACTTGTCCCAAAGAATTCGTCGACTTTGCTAGCTCTACAGCCTTTGCTGGAAGGAGAAGGTTTTCCAGGACCCCTCCTGTACTAGCTCTACAGCCTTTGCTGTCGATGCAGAAGACATCACCAGGGCCCGTGCCATCCCTGAGGTGTCCCTCCCCTGCCATTCCAGCAAAGGCTGTAGAGCTAGCAAAGAATTCGTCGACTTTGTTCCTTGCCTAAACCATACAAGCTAGCCTAGTTCTATCAAGATTGAACATGTGTTCCTTGCCTAAACCATACAAAGCTACGTGCTTCAAACTCCTTCACTTCCATAGCCTATCAATCCTATTTCTAGACTGTAGCTTGTATGGTTTAGGCAAGGAACAAATCGGTGAGACG</t>
  </si>
  <si>
    <t>CAATCCGCCCTCACTACAACCGCGTCTCCTCCCGAATTCGTCGACTTTGACTACCAGGCCTCTTCCCCAGGTGACAGAAGTAATGAGGCTGTTTTCTTTGTCACTACCAGGCCTCTTCCCCAGGTCACTAGGTGGAAGCCCTGACTCTGGGCCACCCAGCCCTCGACACTACGCTCTCATTCACCTGGGGAAGAGGCCTGGTAGTCAAAGAATTCGTCGACTTTGGGACAAGTTGAGCATGATGTTCCTGGGGGGAAATGAAATGCTTGCTCTGTGTGGGACAAGTTGAGCATGATGTTTACGGATCCCTGCAGTGCATCCGGGGAGAGAGTATGAGGGTAGTTGGGTCTGTAGTTCAGGAACATCATGCTCAACTTGTCCCAAAGAATTCGTCGACTTTGCTAGCTCTACAGCCTTTGCTGGAAGGAGAAGGTTTTCCAGGACCCCTCCTGTACTAGCTCTACAGCCTTTGCTGTCGATGCAGAAGACATCACCAGGGCCCGTGCCATCCCTGAGGTGTCCCTCCCCTGCCATTCCAGCAAAGGCTGTAGAGCTAGCAAAGAATTCGTCGACTTTGTTCCTTGCCTAAACCATACAAGCTAGCCTAGTTCTATCAAGATTGAACATGTGTTCCTTGCCTAAACCATACAAAGCTACGTGCTTCAAACTCCTTCACTTCCATAGCCTATCAATCCTATTTCTAGACTGTAGCTTGTATGGTTTAGGCAAGGAACAAATCGGTGAGACGCTACTCTGGCGTCGATGAGGGA</t>
  </si>
  <si>
    <t>C1-truncU6-AAVS1-HA-B2M</t>
  </si>
  <si>
    <t>D2</t>
  </si>
  <si>
    <t>CGTCTCATTGTGGAAAGGACGAAACACCGTAATTTCTACTAAGTGTAGATTTCCTTGCCTAAACCATACAAGCTTAATTTCTACTAAGTGTAGATTGTCACCAATCCTGTCCCTAGTTTTTTTTTTTGTTCCTTGCCTAAACCATACAAGCTACAGTCTAGAAATAGGATTGATAGGCTATGGAAGTGAAGGAGTTTGAAGCACGTAGCTTTGTATGGTTTAGGCAAGGAACACATGTTCAATCTTGATAGAACTAGGCTAGCTTGTATGGTTTAGGCAAGGAACAAAGTCGACGAATTCTTTGTGTCACCAATCCTGTCCCTAGTGTAAGGAAGCTGCAGCACCAGGATCAGTGAAACGCACCAGACGGCCGCGTCAGAGCAGCTCAGGTTCTGGGAGAGGGTAGCGCAGGGTGGCCACTGAGAACCGGGCAGGTCACGCATCCCCCCCTTCCCTCCCACCCCCTGCCAAGCTCTCCCTCCCAGGATCCTCTCTGGCTCCATCGTAAGCAAACCTTAGAGGTTCTGGCAAGGAGAGAGATGGCTCCAGGAAATGGGGGTGTGTCACCAGATAAGGAATCTGCCTAACAGGAGGTGGGGGTTAGACCCAATATCAGGAGACTAGGAAGGAGGAGGCCTAAGGATGGGGCTTGTCTGTCACCAATCCTGTCCCTAGGAGGGCCTATTTCCCATGATTCCTTCATATTTGCATATACGATACAAGGCTGTTAGAGAGATAATTAGAATTAATTTGACTGTAAACACAAAGATATTAGTACAAAATACGTGACGTAGAAAGTAATAATTTCTTGGGTAGTTTGCAGTTTTAAAATTATGTTTTAAAATGGACTATCATATGCTTACCGTAACTTGAAAGTATTTCGATTTCTTGGCTTTATATATCTTGTGGAAAGGACGAAACACCGAAGTCAACTTCAATGTCGGAGTTTAAGAGCTATGCTGGAAACAGCATAGCAAGTTTAAATAAGGCTAGTCCGTTATCAACTTGAAAAAGTGGCACCGAGTCGGTGCTTTTTTTCCGAGGAGACG</t>
  </si>
  <si>
    <t>CAATCCGCCCTCACTACAACCGCGTCTCATTGTGGAAAGGACGAAACACCGTAATTTCTACTAAGTGTAGATTTCCTTGCCTAAACCATACAAGCTTAATTTCTACTAAGTGTAGATTGTCACCAATCCTGTCCCTAGTTTTTTTTTTTGTTCCTTGCCTAAACCATACAAGCTACAGTCTAGAAATAGGATTGATAGGCTATGGAAGTGAAGGAGTTTGAAGCACGTAGCTTTGTATGGTTTAGGCAAGGAACACATGTTCAATCTTGATAGAACTAGGCTAGCTTGTATGGTTTAGGCAAGGAACAAAGTCGACGAATTCTTTGTGTCACCAATCCTGTCCCTAGTGTAAGGAAGCTGCAGCACCAGGATCAGTGAAACGCACCAGACGGCCGCGTCAGAGCAGCTCAGGTTCTGGGAGAGGGTAGCGCAGGGTGGCCACTGAGAACCGGGCAGGTCACGCATCCCCCCCTTCCCTCCCACCCCCTGCCAAGCTCTCCCTCCCAGGATCCTCTCTGGCTCCATCGTAAGCAAACCTTAGAGGTTCTGGCAAGGAGAGAGATGGCTCCAGGAAATGGGGGTGTGTCACCAGATAAGGAATCTGCCTAACAGGAGGTGGGGGTTAGACCCAATATCAGGAGACTAGGAAGGAGGAGGCCTAAGGATGGGGCTTGTCTGTCACCAATCCTGTCCCTAGGAGGGCCTATTTCCCATGATTCCTTCATATTTGCATATACGATACAAGGCTGTTAGAGAGATAATTAGAATTAATTTGACTGTAAACACAAAGATATTAGTACAAAATACGTGACGTAGAAAGTAATAATTTCTTGGGTAGTTTGCAGTTTTAAAATTATGTTTTAAAATGGACTATCATATGCTTACCGTAACTTGAAAGTATTTCGATTTCTTGGCTTTATATATCTTGTGGAAAGGACGAAACACCGAAGTCAACTTCAATGTCGGAGTTTAAGAGCTATGCTGGAAACAGCATAGCAAGTTTAAATAAGGCTAGTCCGTTATCAACTTGAAAAAGTGGCACCGAGTCGGTGCTTTTTTTCCGAGGAGACGCTACTCTGGCGTCGATGAGGGA</t>
  </si>
  <si>
    <t>C2-CMV-GFP-HA</t>
  </si>
  <si>
    <t>E2</t>
  </si>
  <si>
    <t>CGTCTCACCGA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CCTGCAGGCACTAGAGGGTATATAATGGAAGCTCGACTTCCAGCTTGGCAATCCGGTACTGTACCGGTCGCCAC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GTCTAGAGGGCCCTATTCTATAGTGTCACCTAAATGCTAGAGCTCGCTGATCAGCCTCGACTGTGCCTTCTAGTTGCCAGCCATCTGTTGTTTGCCCCTCCCCCGTGCCTTCCTTGACCCTGGAAGGTGCCACTCCCACTGTCCTTTCCTAATAAAATGAGGAAATTGCATCGCATTGTCTGAGTAGGTGTCATTCTATTCTGGGGGGTGGGGTGGGGCAGGACAGCAAGGGGGAGGATTGGGAAGACAATAGCAGGCATGCTGGGGATGCGGTGGGCTCTATGGTGGCCCCACTGTGGGGTGGAGGGGACAGATAAAAGTACCCAGAACCAGAGCCACATTAACCGGCCCTGGGAATATAAGGTGGTCCCAGCTCGGGGACACAGGATCCCTGGAGGCAGCAAACATGCTGTCCTGAAGTGGACATAGGGGCCCGGGTTGGAGGAAGAAGACTAGCTGAGCTCTCGGACCCCTGGAAGATGCCATGACAGGGGGCTGGAAGAGCTAGCACAGACTAGAGAGGTAAGGGGGGTAGGGGAGCTGCCCAAATGAAAGGAGTGAGAGGTGACCCGAATCCACAGGAGAACGGGGTGTCCAGGCAAAGAAAGCAAGAGGATGGAGAGGTGGCTAAAGCCCTAGGGACAGGATTGGTGACACAAAGTCGACGAATTCGGGAGGAGACG</t>
  </si>
  <si>
    <t>CAATCCGCCCTCACTACAACCGCGTCTCACCGA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CCTGCAGGCACTAGAGGGTATATAATGGAAGCTCGACTTCCAGCTTGGCAATCCGGTACTGTACCGGTCGCCAC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GTCTAGAGGGCCCTATTCTATAGTGTCACCTAAATGCTAGAGCTCGCTGATCAGCCTCGACTGTGCCTTCTAGTTGCCAGCCATCTGTTGTTTGCCCCTCCCCCGTGCCTTCCTTGACCCTGGAAGGTGCCACTCCCACTGTCCTTTCCTAATAAAATGAGGAAATTGCATCGCATTGTCTGAGTAGGTGTCATTCTATTCTGGGGGGTGGGGTGGGGCAGGACAGCAAGGGGGAGGATTGGGAAGACAATAGCAGGCATGCTGGGGATGCGGTGGGCTCTATGGTGGCCCCACTGTGGGGTGGAGGGGACAGATAAAAGTACCCAGAACCAGAGCCACATTAACCGGCCCTGGGAATATAAGGTGGTCCCAGCTCGGGGACACAGGATCCCTGGAGGCAGCAAACATGCTGTCCTGAAGTGGACATAGGGGCCCGGGTTGGAGGAAGAAGACTAGCTGAGCTCTCGGACCCCTGGAAGATGCCATGACAGGGGGCTGGAAGAGCTAGCACAGACTAGAGAGGTAAGGGGGGTAGGGGAGCTGCCCAAATGAAAGGAGTGAGAGGTGACCCGAATCCACAGGAGAACGGGGTGTCCAGGCAAAGAAAGCAAGAGGATGGAGAGGTGGCTAAAGCCCTAGGGACAGGATTGGTGACACAAAGTCGACGAATTCGGGAGGAGACGCTACTCTGGCGTCGATGAGGGA</t>
  </si>
  <si>
    <t>E1-truncU6-TRAC-B2M</t>
  </si>
  <si>
    <t>F2</t>
  </si>
  <si>
    <t>CGTCTCATTGTGGAAAGGACGAAACACCGTAATTTCTACTAAGTGTAGATCATGTGCAAACGCCTTCAACAACATAATTTCTACTAAGTGTAGATTGGCCTGGAGGCTATCCAGCGTGATTTTTTTTCCGAGGAGACGGACAAGCATCCAATAATGACCCCTTGGGGAGGGTATAGTAGAGCTTCACGTACTGGTTCGTAAGAAAGACTCTTTGAAGTTGGAACATGTCACAACCCGACGCGCTGCCCGAGGTATCAGGGGTGAAGCACCAGTTTGAGGGCGTTCCGTTATGCGCCGCAT</t>
  </si>
  <si>
    <t>CAATCCGCCCTCACTACAACCGCGTCTCATTGTGGAAAGGACGAAACACCGTAATTTCTACTAAGTGTAGATCATGTGCAAACGCCTTCAACAACATAATTTCTACTAAGTGTAGATTGGCCTGGAGGCTATCCAGCGTGATTTTTTTTCCGAGGAGACGGACAAGCATCCAATAATGACCCCTTGGGGAGGGTATAGTAGAGCTTCACGTACTGGTTCGTAAGAAAGACTCTTTGAAGTTGGAACATGTCACAACCCGACGCGCTGCCCGAGGTATCAGGGGTGAAGCACCAGTTTGAGGGCGTTCCGTTATGCGCCGCATCTACTCTGGCGTCGATGAGGGA</t>
  </si>
  <si>
    <t>E2-TRAC-GFP_Cas12a</t>
  </si>
  <si>
    <t>G2</t>
  </si>
  <si>
    <t>CGTCTCACCGAGTCGACGAATTCTTTGCATGTGCAAACGCCTTCAACAACAGTGACTTGCCAGCCCCACAGAGCCCCGCCCTTGTCCATCACTGGCATCTGGACTCCAGCCTGGGTTGGGGCAAAGAGGGAAATGAGATCATGTCCTAACCCTGATCCTCTTGTCCCACAGATATCCAGAACCCTGACCCTGCCGTGTACCAGCTGAGAGACTCTAAATCCAGTGACAAGTCTGTCTGCCTATTCACCGATTTTGATTCTCAAACAAATGTGTCACAAAGTAAGGATTCTGATGTGTATATCACAGACAAAACTGTGCTAGACATGAGGTCTATGGACTTCAAGAGCAACAGTGCTGTGGCCTGGAGCAACAAATCTGACTGTGCATGTGCAAACGCCTTCGGATCCGGAGCTACTAACTTCAGCCTGCTGAAGCAGGCTGGCGACGTGGAGGAGAACCCTGGACCT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AACAACAGCATTATTCCAGAAGACACCTTCTTCCCCAGCCCAGGTAAGGGCAGCTTTGGTGCCTTCGCAGGCTGTTTCCTTGCTTCAGGAATGGCCAGGTTCTGCCCAGAGCTCTGGTCAATGATGTCTAAAACTCCTCTGATTGGTGGTCTCGGCCTTATCCATTGCCACCAAAACCCTCTTTTTACTAAGAAACAGTGAGCCTTGTTCTGGCAGTCCAGAGAATGACACGGGAAAAAAGCAGATGAAGAGAAGGTGGCAGGAGAGGGCACGTGGCCCAGCCTCAGTCTCTCCAACTGAGTTCCTGCCTGCCTGCCTTTGCTCAGACTGTTTGCCCCTTACTGCTCTTCTGTTGTTGAAGGCGTTTGCACATGCAAAGTCGACGAATCCGGAGACG</t>
  </si>
  <si>
    <t>CAATCCGCCCTCACTACAACCGCGTCTCACCGAGTCGACGAATTCTTTGCATGTGCAAACGCCTTCAACAACAGTGACTTGCCAGCCCCACAGAGCCCCGCCCTTGTCCATCACTGGCATCTGGACTCCAGCCTGGGTTGGGGCAAAGAGGGAAATGAGATCATGTCCTAACCCTGATCCTCTTGTCCCACAGATATCCAGAACCCTGACCCTGCCGTGTACCAGCTGAGAGACTCTAAATCCAGTGACAAGTCTGTCTGCCTATTCACCGATTTTGATTCTCAAACAAATGTGTCACAAAGTAAGGATTCTGATGTGTATATCACAGACAAAACTGTGCTAGACATGAGGTCTATGGACTTCAAGAGCAACAGTGCTGTGGCCTGGAGCAACAAATCTGACTGTGCATGTGCAAACGCCTTCGGATCCGGAGCTACTAACTTCAGCCTGCTGAAGCAGGCTGGCGACGTGGAGGAGAACCCTGGACCT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AACAACAGCATTATTCCAGAAGACACCTTCTTCCCCAGCCCAGGTAAGGGCAGCTTTGGTGCCTTCGCAGGCTGTTTCCTTGCTTCAGGAATGGCCAGGTTCTGCCCAGAGCTCTGGTCAATGATGTCTAAAACTCCTCTGATTGGTGGTCTCGGCCTTATCCATTGCCACCAAAACCCTCTTTTTACTAAGAAACAGTGAGCCTTGTTCTGGCAGTCCAGAGAATGACACGGGAAAAAAGCAGATGAAGAGAAGGTGGCAGGAGAGGGCACGTGGCCCAGCCTCAGTCTCTCCAACTGAGTTCCTGCCTGCCTGCCTTTGCTCAGACTGTTTGCCCCTTACTGCTCTTCTGTTGTTGAAGGCGTTTGCACATGCAAAGTCGACGAATCCGGAGACGCTACTCTGGCGTCGATGAGGGA</t>
  </si>
  <si>
    <t>E3-B2M-Scarlet_Cas12a</t>
  </si>
  <si>
    <t>H2</t>
  </si>
  <si>
    <t>CGTCTCAATCCTTTGTGGCCTGGAGGCTATCCAGCGTGAAGCGCCCGGTGTCCCAAGCTGGGGCGCGCACCCCAGATCGGAGGGCGCCGATGTACAGACAGCAAACTCACCCAGTCTAGTGCATGCCTTCTTAAACATCACGAGACTCTAAGAAAAGGAAACTGAAAACGGGAAAGTCCCTCTCTCTAACCTGGCACTGCGTCGCTGGCTTGGAGACAGGTGACGGTCCCTGCGGGCCTTGTCCTGATTGGCTGGGCACGCGTTTAATATAAGTGGAGGCGTCGCGCTGGCGGGCATTCCTGAAGCTGACAGCATTCGGGCCGAGATGTCTCGCTCCGTGGCCTTAGCTGTGCTCGCGCTACTCTCTCTGTCTGGCCTGGAGGCTATCCGGATCCGGAGCTACTAACTTCAGCCTGCTGAAGCAGGCTGGCGACGTGGAGGAGAACCCTGGACCTATGGATTCCACAGAGGCAGTTATTAAAGAGTTCATGCGATTCAAGGTCCATATGGAGGGCAGTATGAACGGGCACGAATTTGAAATCGAGGGAGAGGGGGAAGGTCGCCCATACGAGGGAACGCAAACAGCCAAATTGCGCGTTACAAAGGGCGGGCCTCTGCCATTTTCTTGGGATATCCTCAGTCCTCAATTTATGTACGGCTCTCGCGCGTTCACGAAACACCCCGCTGACATACCAGACTACTGGAAACAGTCATTTCCTGAGGGTTTCAAATGGGAGCGAGTAATGAATTTTGAAGACGGGGGCGCAGTTAGTGTAGCTCAAGACACTTCCCTTGAGGACGGCACACTTATTTACAAAGTAAAACTTCGGGGCACGAATTTCCCTCCTGATGGGCCGGTCATGCAGAAAAAGACAATGGGGTGGGAGGCCAGTACCGAGCGATTGTATCCTGAGGACGTGGTCCTGAAGGGCGACATAAAGATGGCACTCCGACTTAAAGATGGGGGTCGCTATCTTGCTGACTTCAAAACTACTTATCGGGCGAAGAAACCTGTGCAGATGCCCGGAGCGTTTAATATTGATAGGAAGTTGGACATCACCTCACACAATGAAGATTACACCGTAGTAGAGCAATATGAAAGGTCTGTAGCAAGACATTCAACCGGGGGAAGTGGCGGCTCTTAGAGCGTGAGTCTCTCCTACCCTCCCGCTCTGGTCCTTCCTCTCCCGCTCTGCACCCTCTGTGGCCCTCGCTGTGCTCTCTCGCTCCGTGACTTCCCTTCTCCAAGTTCTCCTTGGTGGCCCGCCGTGGGGCTAGTCCAGGGCTGGATCTCGGGGAAGCGGCGGGGTGGCCTGGGAGTGGGGAAGGGGGTGCGCACCCGGGACGCGCGCTACTTGCCCCTTTCGGCGGGGAGCAGGGGAGACCTTTGGCCTACGGCGACGGGAGGGTCGGGACAAAGTTTAGGGCGTCGATAAGCGTCAGAGCGCCGAGGTTGGGGGAGGGTTTCTCTTCCGCTCTTTCGCGGGGCCTCTGGTCACGCTGGATAGCCTCCAGGCCACAAAGGGAGGAGACG</t>
  </si>
  <si>
    <t>CAATCCGCCCTCACTACAACCGCGTCTCAATCCTTTGTGGCCTGGAGGCTATCCAGCGTGAAGCGCCCGGTGTCCCAAGCTGGGGCGCGCACCCCAGATCGGAGGGCGCCGATGTACAGACAGCAAACTCACCCAGTCTAGTGCATGCCTTCTTAAACATCACGAGACTCTAAGAAAAGGAAACTGAAAACGGGAAAGTCCCTCTCTCTAACCTGGCACTGCGTCGCTGGCTTGGAGACAGGTGACGGTCCCTGCGGGCCTTGTCCTGATTGGCTGGGCACGCGTTTAATATAAGTGGAGGCGTCGCGCTGGCGGGCATTCCTGAAGCTGACAGCATTCGGGCCGAGATGTCTCGCTCCGTGGCCTTAGCTGTGCTCGCGCTACTCTCTCTGTCTGGCCTGGAGGCTATCCGGATCCGGAGCTACTAACTTCAGCCTGCTGAAGCAGGCTGGCGACGTGGAGGAGAACCCTGGACCTATGGATTCCACAGAGGCAGTTATTAAAGAGTTCATGCGATTCAAGGTCCATATGGAGGGCAGTATGAACGGGCACGAATTTGAAATCGAGGGAGAGGGGGAAGGTCGCCCATACGAGGGAACGCAAACAGCCAAATTGCGCGTTACAAAGGGCGGGCCTCTGCCATTTTCTTGGGATATCCTCAGTCCTCAATTTATGTACGGCTCTCGCGCGTTCACGAAACACCCCGCTGACATACCAGACTACTGGAAACAGTCATTTCCTGAGGGTTTCAAATGGGAGCGAGTAATGAATTTTGAAGACGGGGGCGCAGTTAGTGTAGCTCAAGACACTTCCCTTGAGGACGGCACACTTATTTACAAAGTAAAACTTCGGGGCACGAATTTCCCTCCTGATGGGCCGGTCATGCAGAAAAAGACAATGGGGTGGGAGGCCAGTACCGAGCGATTGTATCCTGAGGACGTGGTCCTGAAGGGCGACATAAAGATGGCACTCCGACTTAAAGATGGGGGTCGCTATCTTGCTGACTTCAAAACTACTTATCGGGCGAAGAAACCTGTGCAGATGCCCGGAGCGTTTAATATTGATAGGAAGTTGGACATCACCTCACACAATGAAGATTACACCGTAGTAGAGCAATATGAAAGGTCTGTAGCAAGACATTCAACCGGGGGAAGTGGCGGCTCTTAGAGCGTGAGTCTCTCCTACCCTCCCGCTCTGGTCCTTCCTCTCCCGCTCTGCACCCTCTGTGGCCCTCGCTGTGCTCTCTCGCTCCGTGACTTCCCTTCTCCAAGTTCTCCTTGGTGGCCCGCCGTGGGGCTAGTCCAGGGCTGGATCTCGGGGAAGCGGCGGGGTGGCCTGGGAGTGGGGAAGGGGGTGCGCACCCGGGACGCGCGCTACTTGCCCCTTTCGGCGGGGAGCAGGGGAGACCTTTGGCCTACGGCGACGGGAGGGTCGGGACAAAGTTTAGGGCGTCGATAAGCGTCAGAGCGCCGAGGTTGGGGGAGGGTTTCTCTTCCGCTCTTTCGCGGGGCCTCTGGTCACGCTGGATAGCCTCCAGGCCACAAAGGGAGGAGACGCTACTCTGGCGTCGATGAGGGA</t>
  </si>
  <si>
    <t>D1-CD8SP-mCD163-LH-FLAG</t>
  </si>
  <si>
    <t>A3</t>
  </si>
  <si>
    <t>CGTCTCACACCATGGCTCTGCCTGTCACTGCCCTGCTGCTGCCCCTGGCTCTGCTGCTGCACGCCGCACGACCTGACATTGTGATGACCCAGACTCCATCCTCCCAGGCTGTGTCAGCAGGGGAGAGGGTCACTATGAGGTGCAAGTCCAGTCAGAGTCTTTTATACAGTGAAAACAAAAAGAACTACTTGGCCTGGTACCAACAGAAACCAGGGCAGTCTCCTAAACTGTTGATTTCCTGGGCATCCACTAGGGAATCTGGGGTCCCTGATCGCTTCATAGGCAGTGGATCTGGGACAGATTTCACTCTGACCATCAGCAGTGTGCAGGCAGAAGACCTGGCTGTTTATTACTGTGACCAGTATTATGATCCTCCATTCACGTTCGGCTCAGGGACGAAGTTGGAAATAAAACGGGGCGGTGGCGGTTCTGGTGGCGGTGGCTCCGGCGGTGGCGGTTCTCAGGTCAAACTGCAGGAGTCTGGTGGAGGATTGGTGCAGCCTAAGGAGTCTTTGAAAATCTCATGTGCAGCCTCTGGATTCACCTTCAGTACTGCTGCCATGTACTGGGTCCGCCAGGCTCCAGGAAAGGGTCTGGATTGGGTTGCTCGCATAAGAACTAAACCTGATAATTATGCAACATATTACCCTGCTTCAGTGAAAGGCAGATTCACCATCTCCAGAGATGATTCAAAGGGCATGGTCTACCTACAAATGGATAACTTAAAGACTGAGGACACAGCCATTTATTACTGTACAGCAGCTTATTACTATGATGGCCGCTTTGATTACTGGGGCCAAGGAGTCATGGTCACAGTCGACTACAAAGACGATGACGATAAGGGAGACG</t>
  </si>
  <si>
    <t>CAATCCGCCCTCACTACAACCGCGTCTCACACCATGGCTCTGCCTGTCACTGCCCTGCTGCTGCCCCTGGCTCTGCTGCTGCACGCCGCACGACCTGACATTGTGATGACCCAGACTCCATCCTCCCAGGCTGTGTCAGCAGGGGAGAGGGTCACTATGAGGTGCAAGTCCAGTCAGAGTCTTTTATACAGTGAAAACAAAAAGAACTACTTGGCCTGGTACCAACAGAAACCAGGGCAGTCTCCTAAACTGTTGATTTCCTGGGCATCCACTAGGGAATCTGGGGTCCCTGATCGCTTCATAGGCAGTGGATCTGGGACAGATTTCACTCTGACCATCAGCAGTGTGCAGGCAGAAGACCTGGCTGTTTATTACTGTGACCAGTATTATGATCCTCCATTCACGTTCGGCTCAGGGACGAAGTTGGAAATAAAACGGGGCGGTGGCGGTTCTGGTGGCGGTGGCTCCGGCGGTGGCGGTTCTCAGGTCAAACTGCAGGAGTCTGGTGGAGGATTGGTGCAGCCTAAGGAGTCTTTGAAAATCTCATGTGCAGCCTCTGGATTCACCTTCAGTACTGCTGCCATGTACTGGGTCCGCCAGGCTCCAGGAAAGGGTCTGGATTGGGTTGCTCGCATAAGAACTAAACCTGATAATTATGCAACATATTACCCTGCTTCAGTGAAAGGCAGATTCACCATCTCCAGAGATGATTCAAAGGGCATGGTCTACCTACAAATGGATAACTTAAAGACTGAGGACACAGCCATTTATTACTGTACAGCAGCTTATTACTATGATGGCCGCTTTGATTACTGGGGCCAAGGAGTCATGGTCACAGTCGACTACAAAGACGATGACGATAAGGGAGACGCTACTCTGGCGTCGATGAGGGA</t>
  </si>
  <si>
    <t>D1-CD8SP-mCD163-HL-FLAG</t>
  </si>
  <si>
    <t>B3</t>
  </si>
  <si>
    <t>CGTCTCACACCATGGCTCTGCCTGTCACTGCCCTGCTGCTGCCCCTGGCTCTGCTGCTGCACGCCGCACGACCTCAGGTCAAACTGCAGGAGTCTGGTGGAGGATTGGTGCAGCCTAAGGAGTCTTTGAAAATCTCATGTGCAGCCTCTGGATTCACCTTCAGTACTGCTGCCATGTACTGGGTCCGCCAGGCTCCAGGAAAGGGTCTGGATTGGGTTGCTCGCATAAGAACTAAACCTGATAATTATGCAACATATTACCCTGCTTCAGTGAAAGGCAGATTCACCATCTCCAGAGATGATTCAAAGGGCATGGTCTACCTACAAATGGATAACTTAAAGACTGAGGACACAGCCATTTATTACTGTACAGCAGCTTATTACTATGATGGCCGCTTTGATTACTGGGGCCAAGGAGTCATGGTCACAGTCGGCGGTGGCGGTTCTGGTGGCGGTGGCTCCGGCGGTGGCGGTTCTGACATTGTGATGACCCAGACTCCATCCTCCCAGGCTGTGTCAGCAGGGGAGAGGGTCACTATGAGGTGCAAGTCCAGTCAGAGTCTTTTATACAGTGAAAACAAAAAGAACTACTTGGCCTGGTACCAACAGAAACCAGGGCAGTCTCCTAAACTGTTGATTTCCTGGGCATCCACTAGGGAATCTGGGGTCCCTGATCGCTTCATAGGCAGTGGATCTGGGACAGATTTCACTCTGACCATCAGCAGTGTGCAGGCAGAAGACCTGGCTGTTTATTACTGTGACCAGTATTATGATCCTCCATTCACGTTCGGCTCAGGGACGAAGTTGGAAATAAAACGGGACTACAAAGACGATGACGATAAGGGAGACG</t>
  </si>
  <si>
    <t>CAATCCGCCCTCACTACAACCGCGTCTCACACCATGGCTCTGCCTGTCACTGCCCTGCTGCTGCCCCTGGCTCTGCTGCTGCACGCCGCACGACCTCAGGTCAAACTGCAGGAGTCTGGTGGAGGATTGGTGCAGCCTAAGGAGTCTTTGAAAATCTCATGTGCAGCCTCTGGATTCACCTTCAGTACTGCTGCCATGTACTGGGTCCGCCAGGCTCCAGGAAAGGGTCTGGATTGGGTTGCTCGCATAAGAACTAAACCTGATAATTATGCAACATATTACCCTGCTTCAGTGAAAGGCAGATTCACCATCTCCAGAGATGATTCAAAGGGCATGGTCTACCTACAAATGGATAACTTAAAGACTGAGGACACAGCCATTTATTACTGTACAGCAGCTTATTACTATGATGGCCGCTTTGATTACTGGGGCCAAGGAGTCATGGTCACAGTCGGCGGTGGCGGTTCTGGTGGCGGTGGCTCCGGCGGTGGCGGTTCTGACATTGTGATGACCCAGACTCCATCCTCCCAGGCTGTGTCAGCAGGGGAGAGGGTCACTATGAGGTGCAAGTCCAGTCAGAGTCTTTTATACAGTGAAAACAAAAAGAACTACTTGGCCTGGTACCAACAGAAACCAGGGCAGTCTCCTAAACTGTTGATTTCCTGGGCATCCACTAGGGAATCTGGGGTCCCTGATCGCTTCATAGGCAGTGGATCTGGGACAGATTTCACTCTGACCATCAGCAGTGTGCAGGCAGAAGACCTGGCTGTTTATTACTGTGACCAGTATTATGATCCTCCATTCACGTTCGGCTCAGGGACGAAGTTGGAAATAAAACGGGACTACAAAGACGATGACGATAAGGGAGACGCTACTCTGGCGTCGATGAGGGA</t>
  </si>
  <si>
    <t>D1-SP-mB7H3-FLAG</t>
  </si>
  <si>
    <t>C3</t>
  </si>
  <si>
    <t>CGTCTCACACCATGGAATTCGGCCTGAGCTGGCTGTTCCTGGTGGCCATCCTGAAGGGCGTGCAGTGCGACATTGTGATGACCCAGTCTCACAAATTCATGTCCACATCAATTGGAGCCAGGGTCAGCATCACCTGCAAGGCCAGTCAGGATGTGAGAACTGCTGTAGCCTGGTATCAACAGAAACCAGGCCAGTCTCCTAAACTACTAATTTACTCGGCATCCTACCGGTACACTGGAGTCCCTGATCGCTTCACTGGCAGTGGATCTGGGACGGATTTCACTTTCACCATCAGCAGTGTGCAGGCTGAAGACCTGGCAGTTTATTACTGTCAGCAACATTATGGTACTCCTCCGTGGACGTTCGGTGGAGGCACCAAGCTGGAAATCAAAGGCGGCGGAGGATCTGGCGGAGGCGGAAGTGGCGGAGGGGGCTCTGAAGTGCAGCTGGTGGAGTCTGGGGGAGGCTTAGTGAAGCCTGGAGGGTCCCTGAAACTCTCCTGTGAAGCCTCTAGATTCACTTTCAGTAGCTATGCCATGTCTTGGGTTCGCCAGACTCCGGAGAAGAGGCTGGAGTGGGTCGCAGCCATTAGTGGAGGTGGTAGGTACACCTACTATCCAGACAGTATGAAGGGTCGATTCACCATCTCCAGAGACAATGCCAAGAATTTCCTGTACCTGCAAATGAGCAGTCTGAGGTCTGAGGACACGGCCATGTATTACTGTGCAAGACACTATGATGGTTATCTTGACTACTGGGGCCAAGGCACCACTCTCACAGTCTCCTCAGATTACAAGGACGACGATGATAAGGGAGACG</t>
  </si>
  <si>
    <t>CAATCCGCCCTCACTACAACCGCGTCTCACACCATGGAATTCGGCCTGAGCTGGCTGTTCCTGGTGGCCATCCTGAAGGGCGTGCAGTGCGACATTGTGATGACCCAGTCTCACAAATTCATGTCCACATCAATTGGAGCCAGGGTCAGCATCACCTGCAAGGCCAGTCAGGATGTGAGAACTGCTGTAGCCTGGTATCAACAGAAACCAGGCCAGTCTCCTAAACTACTAATTTACTCGGCATCCTACCGGTACACTGGAGTCCCTGATCGCTTCACTGGCAGTGGATCTGGGACGGATTTCACTTTCACCATCAGCAGTGTGCAGGCTGAAGACCTGGCAGTTTATTACTGTCAGCAACATTATGGTACTCCTCCGTGGACGTTCGGTGGAGGCACCAAGCTGGAAATCAAAGGCGGCGGAGGATCTGGCGGAGGCGGAAGTGGCGGAGGGGGCTCTGAAGTGCAGCTGGTGGAGTCTGGGGGAGGCTTAGTGAAGCCTGGAGGGTCCCTGAAACTCTCCTGTGAAGCCTCTAGATTCACTTTCAGTAGCTATGCCATGTCTTGGGTTCGCCAGACTCCGGAGAAGAGGCTGGAGTGGGTCGCAGCCATTAGTGGAGGTGGTAGGTACACCTACTATCCAGACAGTATGAAGGGTCGATTCACCATCTCCAGAGACAATGCCAAGAATTTCCTGTACCTGCAAATGAGCAGTCTGAGGTCTGAGGACACGGCCATGTATTACTGTGCAAGACACTATGATGGTTATCTTGACTACTGGGGCCAAGGCACCACTCTCACAGTCTCCTCAGATTACAAGGACGACGATGATAAGGGAGACGCTACTCTGGCGTCGATGAGGGA</t>
  </si>
  <si>
    <t>D1-SP-hLeY-FLAG</t>
  </si>
  <si>
    <t>D3</t>
  </si>
  <si>
    <t>CGTCTCACACCATGGCCTTACCAGTGACCGCCTTGCTCCTGCCGCTGGCCTTGCTGCTCCACGCCGCCAGGCCGGAGGTCCAACTGGTGGAGAGCGGTGGAGGTGTTGTGCAACCTGGCCGGTCCCTGCGCCTGTCCTGCTCCACGTCTGGCTTCACTTTCAGTGACTATTACATGTATTGGGTGAGACAGGCACCTGGAAAAGGTCTTGAGTGGGTTGCATACATGAGTAATGTTGGTGCTATCACCGACTATCCAGACACTGTGAAGGGGAGATTTACAATATCGAGAGACAACAGCAAGAACACATTGTTCCTGCAAATGGACAGCCTGAGACCCGAAGACACCGGGGTCTATTTTTGTGCAAGAGGCACCCGTGATGGCTCGTGGTTTGCTTACTGGGGCCAAGGGACCCCGGTCACCGTATCCTCAGGCGGTGGCGGTTCTGGTGGCGGTGGCTCCGGCGGTGGCGGTTCTGACATCCAGATGACCCAGAGCCCAAGCAGCCTGAGCGCCAGCGTGGGTGACAGAGTGACCATCACCTGTAGATCTAGTCAGCGCATTGTACATAGTAATGGAAACACCTATTTAGAATGGTACCAGCAGACGCCAGGTAAGGCTCCAAAGCTGCTGATCTACAAAGTTTCCAACCGATTTTCTGGTGTGCCAAGCAGATTCAGCGGTAGCGGTAGCGGTACCGACTTCACCTTCACCATCAGCAGCCTCCAGCCAGAGGACATCGCCACCTACTACTGCTTTCAAGGTTCACATGTTCCCTTCACGTTCGGCCAAGGGACCAAGCTGCAAATCACAGATTACAAGGACGACGATGATAAGGGAGACG</t>
  </si>
  <si>
    <t>CAATCCGCCCTCACTACAACCGCGTCTCACACCATGGCCTTACCAGTGACCGCCTTGCTCCTGCCGCTGGCCTTGCTGCTCCACGCCGCCAGGCCGGAGGTCCAACTGGTGGAGAGCGGTGGAGGTGTTGTGCAACCTGGCCGGTCCCTGCGCCTGTCCTGCTCCACGTCTGGCTTCACTTTCAGTGACTATTACATGTATTGGGTGAGACAGGCACCTGGAAAAGGTCTTGAGTGGGTTGCATACATGAGTAATGTTGGTGCTATCACCGACTATCCAGACACTGTGAAGGGGAGATTTACAATATCGAGAGACAACAGCAAGAACACATTGTTCCTGCAAATGGACAGCCTGAGACCCGAAGACACCGGGGTCTATTTTTGTGCAAGAGGCACCCGTGATGGCTCGTGGTTTGCTTACTGGGGCCAAGGGACCCCGGTCACCGTATCCTCAGGCGGTGGCGGTTCTGGTGGCGGTGGCTCCGGCGGTGGCGGTTCTGACATCCAGATGACCCAGAGCCCAAGCAGCCTGAGCGCCAGCGTGGGTGACAGAGTGACCATCACCTGTAGATCTAGTCAGCGCATTGTACATAGTAATGGAAACACCTATTTAGAATGGTACCAGCAGACGCCAGGTAAGGCTCCAAAGCTGCTGATCTACAAAGTTTCCAACCGATTTTCTGGTGTGCCAAGCAGATTCAGCGGTAGCGGTAGCGGTACCGACTTCACCTTCACCATCAGCAGCCTCCAGCCAGAGGACATCGCCACCTACTACTGCTTTCAAGGTTCACATGTTCCCTTCACGTTCGGCCAAGGGACCAAGCTGCAAATCACAGATTACAAGGACGACGATGATAAGGGAGACGCTACTCTGGCGTCGATGAGGGA</t>
  </si>
  <si>
    <t>D1-SP-hB7H3-FLAG</t>
  </si>
  <si>
    <t>E3</t>
  </si>
  <si>
    <t>CGTCTCACACCATGGCCTTACCAGTGACCGCCTTGCTCCTGCCGCTGGCCTTGCTGCTCCACGCCGCCAGGCCGGACATCGCCATGACACAATCTCAAAAGTTCATGTCCACGTCAGTCGGAGACCGAGTCTCCGTCACTTGCAAGGCCAGTCAGAATGTGGATACCAATGTAGCATGGTACCAGCAAAAACCCGGACAGTCACCTAAGGCTCTTATATACTCCGCTTCTTATAGGTATTCTGGTGTACCTGACAGGTTTACTGGGTCCGGGTCCGGCACAGACTTCACTCTGACAATAAACAATGTGCAATCAGAGGACCTCGCGGAGTATTTCTGTCAGCAATATAACAACTACCCATTTACTTTCGGTTCAGGCACTAAACTGGAGATAAAGGGCGGAGGAGGGTCAGGCGGGGGCGGTTCAGGGGGAGGTGGGTCAGGCGGGGGGGGTTCCGATGTTCAGTTGGTAGAGTCCGGGGGGGGTCTGGTACAGCCTGGTGGATCAAGAAAACTGTCTTGCGCGGCGAGTGGGTTCACCTTCTCTAGTTTTGGAATGCACTGGGTACGCCAAGCACCGGAGAAAGGTTTGGAATGGGTCGCATACATTTCTTCAGATAGTTCAGCAATTTATTACGCGGACACAGTGAAAGGACGGTTTACGATCTCCAGAGACAACCCTAAGAATACGCTCTTTCTCCAAATGACCAGCCTCCGATCTGAAGATACGGCAATGTATTATTGTGGTCGGGGCAGAGAGAACATTTATTATGGCTCCCGCCTCGATTACTGGGGCCAAGGTACCACTCTGACGGTCTCTTCAGATTACAAGGACGACGATGATAAGGGAGACG</t>
  </si>
  <si>
    <t>CAATCCGCCCTCACTACAACCGCGTCTCACACCATGGCCTTACCAGTGACCGCCTTGCTCCTGCCGCTGGCCTTGCTGCTCCACGCCGCCAGGCCGGACATCGCCATGACACAATCTCAAAAGTTCATGTCCACGTCAGTCGGAGACCGAGTCTCCGTCACTTGCAAGGCCAGTCAGAATGTGGATACCAATGTAGCATGGTACCAGCAAAAACCCGGACAGTCACCTAAGGCTCTTATATACTCCGCTTCTTATAGGTATTCTGGTGTACCTGACAGGTTTACTGGGTCCGGGTCCGGCACAGACTTCACTCTGACAATAAACAATGTGCAATCAGAGGACCTCGCGGAGTATTTCTGTCAGCAATATAACAACTACCCATTTACTTTCGGTTCAGGCACTAAACTGGAGATAAAGGGCGGAGGAGGGTCAGGCGGGGGCGGTTCAGGGGGAGGTGGGTCAGGCGGGGGGGGTTCCGATGTTCAGTTGGTAGAGTCCGGGGGGGGTCTGGTACAGCCTGGTGGATCAAGAAAACTGTCTTGCGCGGCGAGTGGGTTCACCTTCTCTAGTTTTGGAATGCACTGGGTACGCCAAGCACCGGAGAAAGGTTTGGAATGGGTCGCATACATTTCTTCAGATAGTTCAGCAATTTATTACGCGGACACAGTGAAAGGACGGTTTACGATCTCCAGAGACAACCCTAAGAATACGCTCTTTCTCCAAATGACCAGCCTCCGATCTGAAGATACGGCAATGTATTATTGTGGTCGGGGCAGAGAGAACATTTATTATGGCTCCCGCCTCGATTACTGGGGCCAAGGTACCACTCTGACGGTCTCTTCAGATTACAAGGACGACGATGATAAGGGAGACGCTACTCTGGCGTCGATGAGGGA</t>
  </si>
  <si>
    <t>D1-SP-hHER2-FLAG</t>
  </si>
  <si>
    <t>F3</t>
  </si>
  <si>
    <t>CGTCTCACACCATGGCCCTACCTGTGACCGCCCTGCTGCTCCCTCTGGCCCTGCTGCTGCACGCCGCTAGACCCCAGGTACAACTGCAGCAGTCAGGACCTGAACTGAAGAAGCCTGGAGAGACAGTCAAGATCTCCTGCAAGGCCTCTGGGTATCCTTTCACAAACTATGGAATGAACTGGGTGAAGCAGGCTCCAGGACAGGGTTTAAAGTGGATGGGCTGGATTAACACCTCCACTGGAGAGTCAACATTTGCTGATGACTTCAAGGGACGGTTTGACTTCTCTTTGGAAACCTCTGCCAACACTGCCTATTTGCAGATCAACAACCTCAAAAGTGAAGACATGGCTACATATTTCTGTGCAAGATGGGAGGTTTACCACGGCTACGTTCCTTACTGGGGCCAAGGGACCACGGTCACCGTTTCCTCTGGCGGTGGCGGTTCTGGTGGCGGTGGCTCCGGCGGTGGCGGTTCTGACATCCAGCTGACCCAGTCTCACAAATTCCTGTCCACTTCAGTAGGAGACAGGGTCAGCATCACCTGCAAGGCCAGTCAGGATGTGTATAATGCTGTTGCCTGGTATCAACAGAAACCAGGACAATCTCCTAAACTTCTGATTTACTCGGCATCCTCCCGGTACACTGGAGTCCCTTCTCGCTTCACTGGCAGTGGCTCTGGGCCGGATTTCACTTTCACCATCAGCAGTGTGCAGGCTGAAGACCTGGCAGTTTATTTCTGTCAGCAACATTTTCGTACTCCATTCACGTTCGGCTCGGGGACAAAATTGGAGATCGATTACAAGGACGACGATGATAAGGGAGACG</t>
  </si>
  <si>
    <t>CAATCCGCCCTCACTACAACCGCGTCTCACACCATGGCCCTACCTGTGACCGCCCTGCTGCTCCCTCTGGCCCTGCTGCTGCACGCCGCTAGACCCCAGGTACAACTGCAGCAGTCAGGACCTGAACTGAAGAAGCCTGGAGAGACAGTCAAGATCTCCTGCAAGGCCTCTGGGTATCCTTTCACAAACTATGGAATGAACTGGGTGAAGCAGGCTCCAGGACAGGGTTTAAAGTGGATGGGCTGGATTAACACCTCCACTGGAGAGTCAACATTTGCTGATGACTTCAAGGGACGGTTTGACTTCTCTTTGGAAACCTCTGCCAACACTGCCTATTTGCAGATCAACAACCTCAAAAGTGAAGACATGGCTACATATTTCTGTGCAAGATGGGAGGTTTACCACGGCTACGTTCCTTACTGGGGCCAAGGGACCACGGTCACCGTTTCCTCTGGCGGTGGCGGTTCTGGTGGCGGTGGCTCCGGCGGTGGCGGTTCTGACATCCAGCTGACCCAGTCTCACAAATTCCTGTCCACTTCAGTAGGAGACAGGGTCAGCATCACCTGCAAGGCCAGTCAGGATGTGTATAATGCTGTTGCCTGGTATCAACAGAAACCAGGACAATCTCCTAAACTTCTGATTTACTCGGCATCCTCCCGGTACACTGGAGTCCCTTCTCGCTTCACTGGCAGTGGCTCTGGGCCGGATTTCACTTTCACCATCAGCAGTGTGCAGGCTGAAGACCTGGCAGTTTATTTCTGTCAGCAACATTTTCGTACTCCATTCACGTTCGGCTCGGGGACAAAATTGGAGATCGATTACAAGGACGACGATGATAAGGGAGACGCTACTCTGGCGTCGATGAGGGA</t>
  </si>
  <si>
    <t>D1-SP-hHER2-HL-FLAG</t>
  </si>
  <si>
    <t>G3</t>
  </si>
  <si>
    <t>CGTCTCACACCATGGCCCTGCCCGTGACCGCCCTGCTGCTCCCACTGGCTCTGCTGCTGCACGCCGCTAGACCCGCCGCCACCATGTCTGTGCCTACCCAGGTGCTGGGACTGCTGCTGCTGTGGCTGACTGACGCCCGCTGTGATATTGTGATTACCCAGAGCCCCCTGAGCCTGAGCGTGACCCTGGGACAGCCTGCCTCCATTAGTTGTAAGTCTAGCCAGAGCCTGCTGGACTCTGATGGCAAGACCTTCCTGAACTGGCTGCTGCAGCGGCCCGGACAGAGCCCTCGGAGACTGATCTACCTGGTGAGCAAGCTGGACTCCGGAGTGCCCGATAGGTTCAGCGGCTCCGGCTCTGGCACCGACTTTACACTGAAGATCTCCAGGGTGGAGGCAGAGGATCTGGGCGTGTACTATTGCTGGCAGGGCACCCACTTTCCTTGGACTTTCGGCGGCGGCACTAAACTGGAGATTAAGCGTGGAGGCGGGGGTAGTGGAGGCGGGGGTAGTGGAGGCGGGGGTAGTGGAGGCGGGGGTAGTGAGGTCCAGCTGCAGCAGAGCGGCCCCGAACTGGTCAAACCCGGAGCATCCGTGAAGATTTCCTGTAAGGCAAGCGGCTACTCATTCACAGGCTACTTCATGCATTGGGTGCGGCAGGCACACGGCAGATCTCTGGAGTGGATCGGCAGGATCAACCCCTACAATGGCGACATCCGCTATAACCAGAACTTCAAGGACAAGGCCAGCCTGACCGTGGATACCAGCACATCCACCGCCTATATGGAGCTGCACTCTCTGCGGAGCGAGGATTCCGCCGTGTTCTATTGCGCTTCTCTGAATTTCGCCTATTGGGGGCAGGGAACACCCGTGACTGTCTCTTCTGATTACAAGGACGACGATGATAAGGGAGACG</t>
  </si>
  <si>
    <t>CAATCCGCCCTCACTACAACCGCGTCTCACACCATGGCCCTGCCCGTGACCGCCCTGCTGCTCCCACTGGCTCTGCTGCTGCACGCCGCTAGACCCGCCGCCACCATGTCTGTGCCTACCCAGGTGCTGGGACTGCTGCTGCTGTGGCTGACTGACGCCCGCTGTGATATTGTGATTACCCAGAGCCCCCTGAGCCTGAGCGTGACCCTGGGACAGCCTGCCTCCATTAGTTGTAAGTCTAGCCAGAGCCTGCTGGACTCTGATGGCAAGACCTTCCTGAACTGGCTGCTGCAGCGGCCCGGACAGAGCCCTCGGAGACTGATCTACCTGGTGAGCAAGCTGGACTCCGGAGTGCCCGATAGGTTCAGCGGCTCCGGCTCTGGCACCGACTTTACACTGAAGATCTCCAGGGTGGAGGCAGAGGATCTGGGCGTGTACTATTGCTGGCAGGGCACCCACTTTCCTTGGACTTTCGGCGGCGGCACTAAACTGGAGATTAAGCGTGGAGGCGGGGGTAGTGGAGGCGGGGGTAGTGGAGGCGGGGGTAGTGGAGGCGGGGGTAGTGAGGTCCAGCTGCAGCAGAGCGGCCCCGAACTGGTCAAACCCGGAGCATCCGTGAAGATTTCCTGTAAGGCAAGCGGCTACTCATTCACAGGCTACTTCATGCATTGGGTGCGGCAGGCACACGGCAGATCTCTGGAGTGGATCGGCAGGATCAACCCCTACAATGGCGACATCCGCTATAACCAGAACTTCAAGGACAAGGCCAGCCTGACCGTGGATACCAGCACATCCACCGCCTATATGGAGCTGCACTCTCTGCGGAGCGAGGATTCCGCCGTGTTCTATTGCGCTTCTCTGAATTTCGCCTATTGGGGGCAGGGAACACCCGTGACTGTCTCTTCTGATTACAAGGACGACGATGATAAGGGAGACGCTACTCTGGCGTCGATGAGGGA</t>
  </si>
  <si>
    <t>D1-SP-hHER2-LH-FLAG</t>
  </si>
  <si>
    <t>H3</t>
  </si>
  <si>
    <t>CGTCTCACACCATGGCCCTGCCCGTGACCGCCCTGCTGCTCCCACTGGCTCTGCTGCTGCACGCCGCTAGACCCGAGGTCCAGCTGCAGCAGAGCGGCCCCGAACTGGTCAAACCCGGAGCATCCGTGAAGATTTCCTGTAAGGCAAGCGGCTACTCATTCACAGGCTACTTCATGCATTGGGTGCGGCAGGCACACGGCAGATCTCTGGAGTGGATCGGCAGGATCAACCCCTACAATGGCGACATCCGCTATAACCAGAACTTCAAGGACAAGGCCAGCCTGACCGTGGATACCAGCACATCCACCGCCTATATGGAGCTGCACTCTCTGCGGAGCGAGGATTCCGCCGTGTTCTATTGCGCTTCTCTGAATTTCGCCTATTGGGGGCAGGGAACACCCGTGACTGTCTCTTCTGGAGGCGGGGGTAGTGGAGGCGGGGGTAGTGGAGGCGGGGGTAGTGGAGGCGGGGGTAGTGCCGCCACCATGTCTGTGCCTACCCAGGTGCTGGGACTGCTGCTGCTGTGGCTGACTGACGCCCGCTGTGATATTGTGATTACCCAGAGCCCCCTGAGCCTGAGCGTGACCCTGGGACAGCCTGCCTCCATTAGTTGTAAGTCTAGCCAGAGCCTGCTGGACTCTGATGGCAAGACCTTCCTGAACTGGCTGCTGCAGCGGCCCGGACAGAGCCCTCGGAGACTGATCTACCTGGTGAGCAAGCTGGACTCCGGAGTGCCCGATAGGTTCAGCGGCTCCGGCTCTGGCACCGACTTTACACTGAAGATCTCCAGGGTGGAGGCAGAGGATCTGGGCGTGTACTATTGCTGGCAGGGCACCCACTTTCCTTGGACTTTCGGCGGCGGCACTAAACTGGAGATTAAGCGTGATTACAAGGACGACGATGATAAGGGAGACG</t>
  </si>
  <si>
    <t>CAATCCGCCCTCACTACAACCGCGTCTCACACCATGGCCCTGCCCGTGACCGCCCTGCTGCTCCCACTGGCTCTGCTGCTGCACGCCGCTAGACCCGAGGTCCAGCTGCAGCAGAGCGGCCCCGAACTGGTCAAACCCGGAGCATCCGTGAAGATTTCCTGTAAGGCAAGCGGCTACTCATTCACAGGCTACTTCATGCATTGGGTGCGGCAGGCACACGGCAGATCTCTGGAGTGGATCGGCAGGATCAACCCCTACAATGGCGACATCCGCTATAACCAGAACTTCAAGGACAAGGCCAGCCTGACCGTGGATACCAGCACATCCACCGCCTATATGGAGCTGCACTCTCTGCGGAGCGAGGATTCCGCCGTGTTCTATTGCGCTTCTCTGAATTTCGCCTATTGGGGGCAGGGAACACCCGTGACTGTCTCTTCTGGAGGCGGGGGTAGTGGAGGCGGGGGTAGTGGAGGCGGGGGTAGTGGAGGCGGGGGTAGTGCCGCCACCATGTCTGTGCCTACCCAGGTGCTGGGACTGCTGCTGCTGTGGCTGACTGACGCCCGCTGTGATATTGTGATTACCCAGAGCCCCCTGAGCCTGAGCGTGACCCTGGGACAGCCTGCCTCCATTAGTTGTAAGTCTAGCCAGAGCCTGCTGGACTCTGATGGCAAGACCTTCCTGAACTGGCTGCTGCAGCGGCCCGGACAGAGCCCTCGGAGACTGATCTACCTGGTGAGCAAGCTGGACTCCGGAGTGCCCGATAGGTTCAGCGGCTCCGGCTCTGGCACCGACTTTACACTGAAGATCTCCAGGGTGGAGGCAGAGGATCTGGGCGTGTACTATTGCTGGCAGGGCACCCACTTTCCTTGGACTTTCGGCGGCGGCACTAAACTGGAGATTAAGCGTGATTACAAGGACGACGATGATAAGGGAGACGCTACTCTGGCGTCGATGAGGGA</t>
  </si>
  <si>
    <t>D2-CD8hinge-CD8TM</t>
  </si>
  <si>
    <t>A4</t>
  </si>
  <si>
    <t>CGTCTCACAAGACCACGACGCCAGCGCCGCGACCACCAACACCGGCGCCCACCATCGCGTCGCAGCCCCTGTCCCTGCGCCCAGAGGCGTGCCGGCCAGCGGCGGGGGGCGCAGTGCACACGAGGGGGCTGGACTTCGCCTGTGATATCTACATCTGGGCGCCCTTGGCCGGGACTTGTGGGGTCCTTCTCCTGTCACTGGTTATCACCCTTTACTGCGGAGACGGACAAGCATCCAATAATGACCCCTTGGGGAGGGTATAGTAGAGCTTCACGTACTGGTTCGTAAGAAAGACTCTTT</t>
  </si>
  <si>
    <t>CAATCCGCCCTCACTACAACCGCGTCTCACAAGACCACGACGCCAGCGCCGCGACCACCAACACCGGCGCCCACCATCGCGTCGCAGCCCCTGTCCCTGCGCCCAGAGGCGTGCCGGCCAGCGGCGGGGGGCGCAGTGCACACGAGGGGGCTGGACTTCGCCTGTGATATCTACATCTGGGCGCCCTTGGCCGGGACTTGTGGGGTCCTTCTCCTGTCACTGGTTATCACCCTTTACTGCGGAGACGGACAAGCATCCAATAATGACCCCTTGGGGAGGGTATAGTAGAGCTTCACGTACTGGTTCGTAAGAAAGACTCTTTCTACTCTGGCGTCGATGAGGGA</t>
  </si>
  <si>
    <t>D2-D3-CD28h_TM_sig</t>
  </si>
  <si>
    <t>B4</t>
  </si>
  <si>
    <t>CGTCTCACAAGATTGAGTTCATGTACCCTCCGCCTTACCTAGACAACGAGAGGAGCAATGGAACTATTATTCACATAAAAGAGAAACATCTTTGTCATACTCAGTCATCTCCTAAGCTGTTTTGGGCACTGGTCGTGGTTGCTGGAGTCCTGTTTTGTTATGGCTTGCTAGTGACAGTGGCTCTTTGTGTTATCTGGACAAATAGTAGAAGGAACAGACTCCTTCAAAGTGACTACATGAACATGACTCCCCGGAGGCCTGGGCTCACTCGAAAGCCTTACCAGCCCTACGCCCCTGCCAGAGACTTTGCAGCGTACCGCCCCGGATCCGGAGACG</t>
  </si>
  <si>
    <t>CAATCCGCCCTCACTACAACCGCGTCTCACAAGATTGAGTTCATGTACCCTCCGCCTTACCTAGACAACGAGAGGAGCAATGGAACTATTATTCACATAAAAGAGAAACATCTTTGTCATACTCAGTCATCTCCTAAGCTGTTTTGGGCACTGGTCGTGGTTGCTGGAGTCCTGTTTTGTTATGGCTTGCTAGTGACAGTGGCTCTTTGTGTTATCTGGACAAATAGTAGAAGGAACAGACTCCTTCAAAGTGACTACATGAACATGACTCCCCGGAGGCCTGGGCTCACTCGAAAGCCTTACCAGCCCTACGCCCCTGCCAGAGACTTTGCAGCGTACCGCCCCGGATCCGGAGACGCTACTCTGGCGTCGATGAGGGA</t>
  </si>
  <si>
    <t>D2-D3-CD8h_CD28TM_sig</t>
  </si>
  <si>
    <t>C4</t>
  </si>
  <si>
    <t>CGTCTCACAAGAATGGGGTCACCGTCTCTTCAGCGCTGAGCAACTCCATCATGTACTTCAGCCACTTCGTGCCGGTCTTCCTGCCAGCGAAGCCCACCACGACGCCAGCGCCGCGACCACCAACACCGGCGCCCACCATCGCGTCGCAGCCCCTGTCCCTGCGCCCAGAGGCGTGCCGGCCAGCGGCGGGGGGCGCAGTGCACACGAGGGGGCTGGATCCTAAGCTGTTTTGGGCACTGGTCGTGGTTGCTGGAGTCCTGTTTTGTTATGGCTTGCTAGTGACAGTGGCTCTTTGTGTTATCTGGACAAATAGTAGAAGGAACAGACTCCTTCAAAGTGACTACATGAACATGACTCCCCGGAGGCCTGGGCTCACTCGAAAGCCTTACCAGCCCTACGCCCCTGCCAGAGACTTTGCAGCGTACCGCCCCGGATCCGGAGACG</t>
  </si>
  <si>
    <t>CAATCCGCCCTCACTACAACCGCGTCTCACAAGAATGGGGTCACCGTCTCTTCAGCGCTGAGCAACTCCATCATGTACTTCAGCCACTTCGTGCCGGTCTTCCTGCCAGCGAAGCCCACCACGACGCCAGCGCCGCGACCACCAACACCGGCGCCCACCATCGCGTCGCAGCCCCTGTCCCTGCGCCCAGAGGCGTGCCGGCCAGCGGCGGGGGGCGCAGTGCACACGAGGGGGCTGGATCCTAAGCTGTTTTGGGCACTGGTCGTGGTTGCTGGAGTCCTGTTTTGTTATGGCTTGCTAGTGACAGTGGCTCTTTGTGTTATCTGGACAAATAGTAGAAGGAACAGACTCCTTCAAAGTGACTACATGAACATGACTCCCCGGAGGCCTGGGCTCACTCGAAAGCCTTACCAGCCCTACGCCCCTGCCAGAGACTTTGCAGCGTACCGCCCCGGATCCGGAGACGCTACTCTGGCGTCGATGAGGGA</t>
  </si>
  <si>
    <t>D3-h41BB</t>
  </si>
  <si>
    <t>D4</t>
  </si>
  <si>
    <t>CGTCTCACTGCAAACGGGGCAGAAAGAAACTCCTGTATATATTCAAACAACCATTTATGAGACCAGTACAAACTACTCAAGAGGAAGATGGCTGTAGCTGCCGATTTCCAGAAGAAGAAGAAGGAGGATGTGAACTGGGATCCGGAGACGGACAAGCATCCAATAATGACCCCTTGGGGAGGGTATAGTAGAGCTTCACGTACTGGTTCGTAAGAAAGACTCTTTGAAGTTGGAACATGTCACAACCCGACGCGCTGCCCGAGGTATCAGGGGTGAAGCACCAGTTTGAGGGCGTTCCGT</t>
  </si>
  <si>
    <t>CAATCCGCCCTCACTACAACCGCGTCTCACTGCAAACGGGGCAGAAAGAAACTCCTGTATATATTCAAACAACCATTTATGAGACCAGTACAAACTACTCAAGAGGAAGATGGCTGTAGCTGCCGATTTCCAGAAGAAGAAGAAGGAGGATGTGAACTGGGATCCGGAGACGGACAAGCATCCAATAATGACCCCTTGGGGAGGGTATAGTAGAGCTTCACGTACTGGTTCGTAAGAAAGACTCTTTGAAGTTGGAACATGTCACAACCCGACGCGCTGCCCGAGGTATCAGGGGTGAAGCACCAGTTTGAGGGCGTTCCGTCTACTCTGGCGTCGATGAGGGA</t>
  </si>
  <si>
    <t>D3-hCD89</t>
  </si>
  <si>
    <t>E4</t>
  </si>
  <si>
    <t>CGTCTCACTGCAATTGGCACAGCCATACGGCACTGAACAAGGAAGCCTCGGCAGATGTGGCTGAACCGAGCTGGAGCCAACAGATGTGTCAGCCAGGATTGACCTTTGCACGAACACCAAGTGTCTGCAAGGGATCCGGAGACGGACAAGCATCCAATAATGACCCCTTGGGGAGGGTATAGTAGAGCTTCACGTACTGGTTCGTAAGAAAGACTCTTTGAAGTTGGAACATGTCACAACCCGACGCGCTGCCCGAGGTATCAGGGGTGAAGCACCAGTTTGAGGGCGTTCCGTTATGCG</t>
  </si>
  <si>
    <t>CAATCCGCCCTCACTACAACCGCGTCTCACTGCAATTGGCACAGCCATACGGCACTGAACAAGGAAGCCTCGGCAGATGTGGCTGAACCGAGCTGGAGCCAACAGATGTGTCAGCCAGGATTGACCTTTGCACGAACACCAAGTGTCTGCAAGGGATCCGGAGACGGACAAGCATCCAATAATGACCCCTTGGGGAGGGTATAGTAGAGCTTCACGTACTGGTTCGTAAGAAAGACTCTTTGAAGTTGGAACATGTCACAACCCGACGCGCTGCCCGAGGTATCAGGGGTGAAGCACCAGTTTGAGGGCGTTCCGTTATGCGCTACTCTGGCGTCGATGAGGGA</t>
  </si>
  <si>
    <t>D4-hMyD88(gt2a)</t>
  </si>
  <si>
    <t>F4</t>
  </si>
  <si>
    <t>CGTCTCAATCCGGAGAGGGCAGGGGAAGTCTACTAACATGCGGGGACGTGGAGGAAAATCCCGGCCCAATGGCTGCAGGAGGTCCCGGCGCGGGGTCTGCGGCCCCGGTCTCCTCCACATCCTCCCTTCCCCTGGCTGCTCTCAACATGCGAGTGCGGCGCCGCCTGTCTCTGTTCTTGAACGTGCGGACACAGGTGGCGGCCGACTGGACCGCGCTGGCGGAGGAGATGGACTTTGAGTACTTGGAGATCCGGCAACTGGAGACACAAGCGGACCCCACTGGCAGGCTGCTGGACGCCTGGCAGGGACGCCCTGGCGCCTCTGTAGGCCGACTGCTCGAGCTGCTTACCAAGCTGGGCCGCGACGACGTGCTGCTGGAGCTGGGACCCAGCATTGAGGAGGATTGCCAAAAGTATATCTTGAAGCAGCAGCAGGAGGAGGCTGAGAAGCCTTTACAGGTGGCCGCTGTAGACAGCAGTGTCCCACGGACAGCAGAGCTGGCGGGCATCACCACACTTGATGACCCCCTGGGGCATATGCCTGAGCGTTTCGATGCCTTCATCTGCTATTGCCCCAGCGACATCGGAAGTGGAGACG</t>
  </si>
  <si>
    <t>CAATCCGCCCTCACTACAACCGCGTCTCAATCCGGAGAGGGCAGGGGAAGTCTACTAACATGCGGGGACGTGGAGGAAAATCCCGGCCCAATGGCTGCAGGAGGTCCCGGCGCGGGGTCTGCGGCCCCGGTCTCCTCCACATCCTCCCTTCCCCTGGCTGCTCTCAACATGCGAGTGCGGCGCCGCCTGTCTCTGTTCTTGAACGTGCGGACACAGGTGGCGGCCGACTGGACCGCGCTGGCGGAGGAGATGGACTTTGAGTACTTGGAGATCCGGCAACTGGAGACACAAGCGGACCCCACTGGCAGGCTGCTGGACGCCTGGCAGGGACGCCCTGGCGCCTCTGTAGGCCGACTGCTCGAGCTGCTTACCAAGCTGGGCCGCGACGACGTGCTGCTGGAGCTGGGACCCAGCATTGAGGAGGATTGCCAAAAGTATATCTTGAAGCAGCAGCAGGAGGAGGCTGAGAAGCCTTTACAGGTGGCCGCTGTAGACAGCAGTGTCCCACGGACAGCAGAGCTGGCGGGCATCACCACACTTGATGACCCCCTGGGGCATATGCCTGAGCGTTTCGATGCCTTCATCTGCTATTGCCCCAGCGACATCGGAAGTGGAGACGCTACTCTGGCGTCGATGAGGGA</t>
  </si>
  <si>
    <t>D4-hCD3z</t>
  </si>
  <si>
    <t>G4</t>
  </si>
  <si>
    <t>CGTCTCAATCCCGGGTGAAATTCAGCAGAAGCGCCGACGCTCCAGCCTATCAGCAGGGCCAGAACCAGCTGTATAACGAGCTGAACCTGGGCAGACGAGAAGAGTACGACGTGCTGGACAAGCGGCGGGGCAGAGACCCTGAGATGGGCGGCAAACCTAGAAGAAAGAACCCCCAAGAGGGCCTGTACAACGAGCTGCAAAAGGATAAGATGGCCGAGGCCTACAGCGAGATCGGCATGAAGGGAGAAAGAAGACGCGGAAAAGGCCACGACGGCCTCTACCAAGGACTGAGCACCGCCACAAAGGATACCTACGACGCCCTGCACATGCAGGCCCTGCCTCCTAGAGGAAGTGGAGACG</t>
  </si>
  <si>
    <t>CAATCCGCCCTCACTACAACCGCGTCTCAATCCCGGGTGAAATTCAGCAGAAGCGCCGACGCTCCAGCCTATCAGCAGGGCCAGAACCAGCTGTATAACGAGCTGAACCTGGGCAGACGAGAAGAGTACGACGTGCTGGACAAGCGGCGGGGCAGAGACCCTGAGATGGGCGGCAAACCTAGAAGAAAGAACCCCCAAGAGGGCCTGTACAACGAGCTGCAAAAGGATAAGATGGCCGAGGCCTACAGCGAGATCGGCATGAAGGGAGAAAGAAGACGCGGAAAAGGCCACGACGGCCTCTACCAAGGACTGAGCACCGCCACAAAGGATACCTACGACGCCCTGCACATGCAGGCCCTGCCTCCTAGAGGAAGTGGAGACGCTACTCTGGCGTCGATGAGGGA</t>
  </si>
  <si>
    <t>D4-mCD3z</t>
  </si>
  <si>
    <t>H4</t>
  </si>
  <si>
    <t>CGTCTCAATCCAGAGCAAAATTCAGCAGGAGTGCAGAGACTGCTGCCAACCTGCAGGACCCCAACCAGCTCTACAATGAGCTCAATCTAGGGCGAAGAGAGGAATATGACGTCTTGGAGAAGAAGCGGGCTCGGGATCCAGAGATGGGAGGCAAACAGCAGAGGAGGAGGAACCCCCAGGAAGGCGTATACAATGCACTGCAGAAAGACAAGATGGCAGAAGCCTACAGTGAGATCGGCACAAAAGGCGAGAGGCGGAGAGGCAAGGGGCACGATGGCCTTTACCAGGGTCTCAGCACTGCCACCAAGGACACCTATGATGCCCTGCATATGCAGACCCTGGCCCCTCGCGGAAGTGGAGACG</t>
  </si>
  <si>
    <t>CAATCCGCCCTCACTACAACCGCGTCTCAATCCAGAGCAAAATTCAGCAGGAGTGCAGAGACTGCTGCCAACCTGCAGGACCCCAACCAGCTCTACAATGAGCTCAATCTAGGGCGAAGAGAGGAATATGACGTCTTGGAGAAGAAGCGGGCTCGGGATCCAGAGATGGGAGGCAAACAGCAGAGGAGGAGGAACCCCCAGGAAGGCGTATACAATGCACTGCAGAAAGACAAGATGGCAGAAGCCTACAGTGAGATCGGCACAAAAGGCGAGAGGCGGAGAGGCAAGGGGCACGATGGCCTTTACCAGGGTCTCAGCACTGCCACCAAGGACACCTATGATGCCCTGCATATGCAGACCCTGGCCCCTCGCGGAAGTGGAGACGCTACTCTGGCGTCGATGAGGGA</t>
  </si>
  <si>
    <t>D4-Term</t>
  </si>
  <si>
    <t>A5</t>
  </si>
  <si>
    <t>CGTCTCAATCCGGAAGTGGCGGCTCTTAGCTCGGGAGACGGACAAGCATCCAATAATGACCCCTTGGGGAGGGTATAGTAGAGCTTCACGTACTGGTTCGTAAGAAAGACTCTTTGAAGTTGGAACATGTCACAACCCGACGCGCTGCCCGAGGTATCAGGGGTGAAGCACCAGTTTGAGGGCGTTCCGTTATGCGCCGCATTTACCACTGGTTATAGTTCCATTAGCTGCACCGGGCATGTTGACTGCCCGTATAAAACTGCATGATGCTTGTGTTTCCAACCCACCTCAAGAATTACC</t>
  </si>
  <si>
    <t>CAATCCGCCCTCACTACAACCGCGTCTCAATCCGGAAGTGGCGGCTCTTAGCTCGGGAGACGGACAAGCATCCAATAATGACCCCTTGGGGAGGGTATAGTAGAGCTTCACGTACTGGTTCGTAAGAAAGACTCTTTGAAGTTGGAACATGTCACAACCCGACGCGCTGCCCGAGGTATCAGGGGTGAAGCACCAGTTTGAGGGCGTTCCGTTATGCGCCGCATTTACCACTGGTTATAGTTCCATTAGCTGCACCGGGCATGTTGACTGCCCGTATAAAACTGCATGATGCTTGTGTTTCCAACCCACCTCAAGAATTACCCTACTCTGGCGTCGATGAGGGA</t>
  </si>
  <si>
    <t>D5-Term</t>
  </si>
  <si>
    <t>B5</t>
  </si>
  <si>
    <t>CGTCTCAAAGTGGAAGTGGCGGCTCTTAGCTCGGGAGACGGACAAGCATCCAATAATGACCCCTTGGGGAGGGTATAGTAGAGCTTCACGTACTGGTTCGTAAGAAAGACTCTTTGAAGTTGGAACATGTCACAACCCGACGCGCTGCCCGAGGTATCAGGGGTGAAGCACCAGTTTGAGGGCGTTCCGTTATGCGCCGCATTTACCACTGGTTATAGTTCCATTAGCTGCACCGGGCATGTTGACTGCCCGTATAAAACTGCATGATGCTTGTGTTTCCAACCCACCTCAAGAATTACC</t>
  </si>
  <si>
    <t>CAATCCGCCCTCACTACAACCGCGTCTCAAAGTGGAAGTGGCGGCTCTTAGCTCGGGAGACGGACAAGCATCCAATAATGACCCCTTGGGGAGGGTATAGTAGAGCTTCACGTACTGGTTCGTAAGAAAGACTCTTTGAAGTTGGAACATGTCACAACCCGACGCGCTGCCCGAGGTATCAGGGGTGAAGCACCAGTTTGAGGGCGTTCCGTTATGCGCCGCATTTACCACTGGTTATAGTTCCATTAGCTGCACCGGGCATGTTGACTGCCCGTATAAAACTGCATGATGCTTGTGTTTCCAACCCACCTCAAGAATTACCCTACTCTGGCGTCGATGAGGGA</t>
  </si>
  <si>
    <t>Mass (0.05pmol)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</si>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</sst>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911C-7545-B74F-986B-8F1CDB741B3A}">
  <sheetPr>
    <pageSetUpPr fitToPage="1"/>
  </sheetPr>
  <dimension ref="A1:P35"/>
  <sheetViews>
    <sheetView tabSelected="1" workbookViewId="0">
      <selection activeCell="E13" sqref="E13"/>
    </sheetView>
  </sheetViews>
  <sheetFormatPr baseColWidth="10" defaultRowHeight="16" x14ac:dyDescent="0.2"/>
  <cols>
    <col min="1" max="1" width="19.6640625" customWidth="1"/>
    <col min="2" max="2" width="25.6640625" bestFit="1" customWidth="1"/>
    <col min="15" max="15" width="14.5" bestFit="1" customWidth="1"/>
    <col min="16" max="16" width="11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154</v>
      </c>
      <c r="P1" s="1" t="s">
        <v>155</v>
      </c>
    </row>
    <row r="2" spans="1:16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335</v>
      </c>
      <c r="G2" s="1" t="s">
        <v>19</v>
      </c>
      <c r="H2" s="1">
        <v>379</v>
      </c>
      <c r="I2" s="1" t="s">
        <v>20</v>
      </c>
      <c r="J2" s="1" t="s">
        <v>20</v>
      </c>
      <c r="K2" s="1">
        <v>650</v>
      </c>
      <c r="L2" s="1" t="s">
        <v>21</v>
      </c>
      <c r="M2" s="1">
        <v>10</v>
      </c>
      <c r="N2" s="1">
        <f>K2/M2</f>
        <v>65</v>
      </c>
      <c r="O2" s="1">
        <f>(H2*330*2/1000)*0.05</f>
        <v>12.507</v>
      </c>
      <c r="P2" s="1">
        <f>O2/M2</f>
        <v>1.2506999999999999</v>
      </c>
    </row>
    <row r="3" spans="1:16" x14ac:dyDescent="0.2">
      <c r="A3" s="1" t="s">
        <v>14</v>
      </c>
      <c r="B3" s="1" t="s">
        <v>22</v>
      </c>
      <c r="C3" s="1" t="s">
        <v>16</v>
      </c>
      <c r="D3" s="1" t="s">
        <v>23</v>
      </c>
      <c r="E3" s="1" t="s">
        <v>24</v>
      </c>
      <c r="F3" s="1">
        <v>385</v>
      </c>
      <c r="G3" s="1" t="s">
        <v>25</v>
      </c>
      <c r="H3" s="1">
        <v>429</v>
      </c>
      <c r="I3" s="1" t="s">
        <v>20</v>
      </c>
      <c r="J3" s="1" t="s">
        <v>20</v>
      </c>
      <c r="K3" s="1">
        <v>783</v>
      </c>
      <c r="L3" s="1" t="s">
        <v>21</v>
      </c>
      <c r="M3" s="1">
        <v>10</v>
      </c>
      <c r="N3" s="1">
        <f t="shared" ref="N3:N35" si="0">K3/M3</f>
        <v>78.3</v>
      </c>
      <c r="O3" s="1">
        <f t="shared" ref="O3:O35" si="1">(H3*330*2/1000)*0.05</f>
        <v>14.157</v>
      </c>
      <c r="P3" s="1">
        <f t="shared" ref="P3:P35" si="2">O3/M3</f>
        <v>1.4157</v>
      </c>
    </row>
    <row r="4" spans="1:16" x14ac:dyDescent="0.2">
      <c r="A4" s="1" t="s">
        <v>14</v>
      </c>
      <c r="B4" s="1" t="s">
        <v>26</v>
      </c>
      <c r="C4" s="1" t="s">
        <v>16</v>
      </c>
      <c r="D4" s="1" t="s">
        <v>27</v>
      </c>
      <c r="E4" s="1" t="s">
        <v>28</v>
      </c>
      <c r="F4" s="1">
        <v>385</v>
      </c>
      <c r="G4" s="1" t="s">
        <v>29</v>
      </c>
      <c r="H4" s="1">
        <v>429</v>
      </c>
      <c r="I4" s="1" t="s">
        <v>20</v>
      </c>
      <c r="J4" s="1" t="s">
        <v>20</v>
      </c>
      <c r="K4" s="1">
        <v>770</v>
      </c>
      <c r="L4" s="1" t="s">
        <v>21</v>
      </c>
      <c r="M4" s="1">
        <v>10</v>
      </c>
      <c r="N4" s="1">
        <f t="shared" si="0"/>
        <v>77</v>
      </c>
      <c r="O4" s="1">
        <f t="shared" si="1"/>
        <v>14.157</v>
      </c>
      <c r="P4" s="1">
        <f t="shared" si="2"/>
        <v>1.4157</v>
      </c>
    </row>
    <row r="5" spans="1:16" x14ac:dyDescent="0.2">
      <c r="A5" s="1" t="s">
        <v>14</v>
      </c>
      <c r="B5" s="1" t="s">
        <v>30</v>
      </c>
      <c r="C5" s="1" t="s">
        <v>16</v>
      </c>
      <c r="D5" s="1" t="s">
        <v>31</v>
      </c>
      <c r="E5" s="1" t="s">
        <v>32</v>
      </c>
      <c r="F5" s="1">
        <v>385</v>
      </c>
      <c r="G5" s="1" t="s">
        <v>33</v>
      </c>
      <c r="H5" s="1">
        <v>429</v>
      </c>
      <c r="I5" s="1" t="s">
        <v>20</v>
      </c>
      <c r="J5" s="1" t="s">
        <v>20</v>
      </c>
      <c r="K5" s="1">
        <v>977</v>
      </c>
      <c r="L5" s="1" t="s">
        <v>21</v>
      </c>
      <c r="M5" s="1">
        <v>10</v>
      </c>
      <c r="N5" s="1">
        <f t="shared" si="0"/>
        <v>97.7</v>
      </c>
      <c r="O5" s="1">
        <f t="shared" si="1"/>
        <v>14.157</v>
      </c>
      <c r="P5" s="1">
        <f t="shared" si="2"/>
        <v>1.4157</v>
      </c>
    </row>
    <row r="6" spans="1:16" x14ac:dyDescent="0.2">
      <c r="A6" s="1" t="s">
        <v>14</v>
      </c>
      <c r="B6" s="1" t="s">
        <v>34</v>
      </c>
      <c r="C6" s="1" t="s">
        <v>16</v>
      </c>
      <c r="D6" s="1" t="s">
        <v>35</v>
      </c>
      <c r="E6" s="1" t="s">
        <v>36</v>
      </c>
      <c r="F6" s="1">
        <v>325</v>
      </c>
      <c r="G6" s="1" t="s">
        <v>37</v>
      </c>
      <c r="H6" s="1">
        <v>369</v>
      </c>
      <c r="I6" s="1" t="s">
        <v>20</v>
      </c>
      <c r="J6" s="1" t="s">
        <v>20</v>
      </c>
      <c r="K6" s="1">
        <v>734</v>
      </c>
      <c r="L6" s="1" t="s">
        <v>21</v>
      </c>
      <c r="M6" s="1">
        <v>10</v>
      </c>
      <c r="N6" s="1">
        <f t="shared" si="0"/>
        <v>73.400000000000006</v>
      </c>
      <c r="O6" s="1">
        <f t="shared" si="1"/>
        <v>12.177</v>
      </c>
      <c r="P6" s="1">
        <f t="shared" si="2"/>
        <v>1.2177</v>
      </c>
    </row>
    <row r="7" spans="1:16" x14ac:dyDescent="0.2">
      <c r="A7" s="1" t="s">
        <v>14</v>
      </c>
      <c r="B7" s="1" t="s">
        <v>38</v>
      </c>
      <c r="C7" s="1" t="s">
        <v>16</v>
      </c>
      <c r="D7" s="1" t="s">
        <v>39</v>
      </c>
      <c r="E7" s="1" t="s">
        <v>40</v>
      </c>
      <c r="F7" s="1">
        <v>325</v>
      </c>
      <c r="G7" s="1" t="s">
        <v>41</v>
      </c>
      <c r="H7" s="1">
        <v>369</v>
      </c>
      <c r="I7" s="1" t="s">
        <v>20</v>
      </c>
      <c r="J7" s="1" t="s">
        <v>20</v>
      </c>
      <c r="K7" s="1">
        <v>681</v>
      </c>
      <c r="L7" s="1" t="s">
        <v>21</v>
      </c>
      <c r="M7" s="1">
        <v>10</v>
      </c>
      <c r="N7" s="1">
        <f t="shared" si="0"/>
        <v>68.099999999999994</v>
      </c>
      <c r="O7" s="1">
        <f t="shared" si="1"/>
        <v>12.177</v>
      </c>
      <c r="P7" s="1">
        <f t="shared" si="2"/>
        <v>1.2177</v>
      </c>
    </row>
    <row r="8" spans="1:16" x14ac:dyDescent="0.2">
      <c r="A8" s="1" t="s">
        <v>14</v>
      </c>
      <c r="B8" s="1" t="s">
        <v>42</v>
      </c>
      <c r="C8" s="1" t="s">
        <v>16</v>
      </c>
      <c r="D8" s="1" t="s">
        <v>43</v>
      </c>
      <c r="E8" s="1" t="s">
        <v>44</v>
      </c>
      <c r="F8" s="1">
        <v>325</v>
      </c>
      <c r="G8" s="1" t="s">
        <v>45</v>
      </c>
      <c r="H8" s="1">
        <v>369</v>
      </c>
      <c r="I8" s="1" t="s">
        <v>20</v>
      </c>
      <c r="J8" s="1" t="s">
        <v>20</v>
      </c>
      <c r="K8" s="1">
        <v>595</v>
      </c>
      <c r="L8" s="1" t="s">
        <v>21</v>
      </c>
      <c r="M8" s="1">
        <v>10</v>
      </c>
      <c r="N8" s="1">
        <f t="shared" si="0"/>
        <v>59.5</v>
      </c>
      <c r="O8" s="1">
        <f t="shared" si="1"/>
        <v>12.177</v>
      </c>
      <c r="P8" s="1">
        <f t="shared" si="2"/>
        <v>1.2177</v>
      </c>
    </row>
    <row r="9" spans="1:16" x14ac:dyDescent="0.2">
      <c r="A9" s="1" t="s">
        <v>14</v>
      </c>
      <c r="B9" s="1" t="s">
        <v>46</v>
      </c>
      <c r="C9" s="1" t="s">
        <v>16</v>
      </c>
      <c r="D9" s="1" t="s">
        <v>47</v>
      </c>
      <c r="E9" s="1" t="s">
        <v>48</v>
      </c>
      <c r="F9" s="1">
        <v>300</v>
      </c>
      <c r="G9" s="1" t="s">
        <v>49</v>
      </c>
      <c r="H9" s="1">
        <v>344</v>
      </c>
      <c r="I9" s="1" t="s">
        <v>20</v>
      </c>
      <c r="J9" s="1" t="s">
        <v>20</v>
      </c>
      <c r="K9" s="1">
        <v>499</v>
      </c>
      <c r="L9" s="1" t="s">
        <v>21</v>
      </c>
      <c r="M9" s="1">
        <v>10</v>
      </c>
      <c r="N9" s="1">
        <f t="shared" si="0"/>
        <v>49.9</v>
      </c>
      <c r="O9" s="1">
        <f t="shared" si="1"/>
        <v>11.352</v>
      </c>
      <c r="P9" s="1">
        <f t="shared" si="2"/>
        <v>1.1352</v>
      </c>
    </row>
    <row r="10" spans="1:16" x14ac:dyDescent="0.2">
      <c r="A10" s="1" t="s">
        <v>14</v>
      </c>
      <c r="B10" s="1" t="s">
        <v>50</v>
      </c>
      <c r="C10" s="1" t="s">
        <v>16</v>
      </c>
      <c r="D10" s="1" t="s">
        <v>51</v>
      </c>
      <c r="E10" s="1" t="s">
        <v>52</v>
      </c>
      <c r="F10" s="1">
        <v>300</v>
      </c>
      <c r="G10" s="1" t="s">
        <v>53</v>
      </c>
      <c r="H10" s="1">
        <v>344</v>
      </c>
      <c r="I10" s="1" t="s">
        <v>20</v>
      </c>
      <c r="J10" s="1" t="s">
        <v>20</v>
      </c>
      <c r="K10" s="1">
        <v>622</v>
      </c>
      <c r="L10" s="1" t="s">
        <v>21</v>
      </c>
      <c r="M10" s="1">
        <v>10</v>
      </c>
      <c r="N10" s="1">
        <f t="shared" si="0"/>
        <v>62.2</v>
      </c>
      <c r="O10" s="1">
        <f t="shared" si="1"/>
        <v>11.352</v>
      </c>
      <c r="P10" s="1">
        <f t="shared" si="2"/>
        <v>1.1352</v>
      </c>
    </row>
    <row r="11" spans="1:16" x14ac:dyDescent="0.2">
      <c r="A11" s="1" t="s">
        <v>14</v>
      </c>
      <c r="B11" s="1" t="s">
        <v>54</v>
      </c>
      <c r="C11" s="1" t="s">
        <v>16</v>
      </c>
      <c r="D11" s="1" t="s">
        <v>55</v>
      </c>
      <c r="E11" s="1" t="s">
        <v>56</v>
      </c>
      <c r="F11" s="1">
        <v>300</v>
      </c>
      <c r="G11" s="1" t="s">
        <v>57</v>
      </c>
      <c r="H11" s="1">
        <v>344</v>
      </c>
      <c r="I11" s="1" t="s">
        <v>20</v>
      </c>
      <c r="J11" s="1" t="s">
        <v>20</v>
      </c>
      <c r="K11" s="1">
        <v>573</v>
      </c>
      <c r="L11" s="1" t="s">
        <v>21</v>
      </c>
      <c r="M11" s="1">
        <v>10</v>
      </c>
      <c r="N11" s="1">
        <f t="shared" si="0"/>
        <v>57.3</v>
      </c>
      <c r="O11" s="1">
        <f t="shared" si="1"/>
        <v>11.352</v>
      </c>
      <c r="P11" s="1">
        <f t="shared" si="2"/>
        <v>1.1352</v>
      </c>
    </row>
    <row r="12" spans="1:16" x14ac:dyDescent="0.2">
      <c r="A12" s="1" t="s">
        <v>14</v>
      </c>
      <c r="B12" s="1" t="s">
        <v>58</v>
      </c>
      <c r="C12" s="1" t="s">
        <v>16</v>
      </c>
      <c r="D12" s="1" t="s">
        <v>59</v>
      </c>
      <c r="E12" s="1" t="s">
        <v>60</v>
      </c>
      <c r="F12" s="1">
        <v>726</v>
      </c>
      <c r="G12" s="1" t="s">
        <v>61</v>
      </c>
      <c r="H12" s="1">
        <v>770</v>
      </c>
      <c r="I12" s="1" t="s">
        <v>20</v>
      </c>
      <c r="J12" s="1" t="s">
        <v>20</v>
      </c>
      <c r="K12" s="1">
        <v>589</v>
      </c>
      <c r="L12" s="1" t="s">
        <v>21</v>
      </c>
      <c r="M12" s="1">
        <v>10</v>
      </c>
      <c r="N12" s="1">
        <f t="shared" si="0"/>
        <v>58.9</v>
      </c>
      <c r="O12" s="1">
        <f t="shared" si="1"/>
        <v>25.41</v>
      </c>
      <c r="P12" s="1">
        <f t="shared" si="2"/>
        <v>2.5409999999999999</v>
      </c>
    </row>
    <row r="13" spans="1:16" x14ac:dyDescent="0.2">
      <c r="A13" s="1" t="s">
        <v>14</v>
      </c>
      <c r="B13" s="1" t="s">
        <v>62</v>
      </c>
      <c r="C13" s="1" t="s">
        <v>16</v>
      </c>
      <c r="D13" s="1" t="s">
        <v>63</v>
      </c>
      <c r="E13" s="1" t="s">
        <v>64</v>
      </c>
      <c r="F13" s="1">
        <v>1049</v>
      </c>
      <c r="G13" s="1" t="s">
        <v>65</v>
      </c>
      <c r="H13" s="1">
        <v>1093</v>
      </c>
      <c r="I13" s="1" t="s">
        <v>20</v>
      </c>
      <c r="J13" s="1" t="s">
        <v>20</v>
      </c>
      <c r="K13" s="1">
        <v>753</v>
      </c>
      <c r="L13" s="1" t="s">
        <v>21</v>
      </c>
      <c r="M13" s="1">
        <v>10</v>
      </c>
      <c r="N13" s="1">
        <f t="shared" si="0"/>
        <v>75.3</v>
      </c>
      <c r="O13" s="1">
        <f t="shared" si="1"/>
        <v>36.069000000000003</v>
      </c>
      <c r="P13" s="1">
        <f t="shared" si="2"/>
        <v>3.6069000000000004</v>
      </c>
    </row>
    <row r="14" spans="1:16" x14ac:dyDescent="0.2">
      <c r="A14" s="1" t="s">
        <v>14</v>
      </c>
      <c r="B14" s="1" t="s">
        <v>66</v>
      </c>
      <c r="C14" s="1" t="s">
        <v>16</v>
      </c>
      <c r="D14" s="1" t="s">
        <v>67</v>
      </c>
      <c r="E14" s="1" t="s">
        <v>68</v>
      </c>
      <c r="F14" s="1">
        <v>1786</v>
      </c>
      <c r="G14" s="1" t="s">
        <v>69</v>
      </c>
      <c r="H14" s="1">
        <v>1830</v>
      </c>
      <c r="I14" s="1" t="s">
        <v>20</v>
      </c>
      <c r="J14" s="1" t="s">
        <v>20</v>
      </c>
      <c r="K14" s="1">
        <v>1371</v>
      </c>
      <c r="L14" s="1" t="s">
        <v>21</v>
      </c>
      <c r="M14" s="1">
        <v>10</v>
      </c>
      <c r="N14" s="1">
        <f t="shared" si="0"/>
        <v>137.1</v>
      </c>
      <c r="O14" s="1">
        <f t="shared" si="1"/>
        <v>60.39</v>
      </c>
      <c r="P14" s="1">
        <f t="shared" si="2"/>
        <v>6.0389999999999997</v>
      </c>
    </row>
    <row r="15" spans="1:16" x14ac:dyDescent="0.2">
      <c r="A15" s="1" t="s">
        <v>14</v>
      </c>
      <c r="B15" s="1" t="s">
        <v>70</v>
      </c>
      <c r="C15" s="1" t="s">
        <v>16</v>
      </c>
      <c r="D15" s="1" t="s">
        <v>71</v>
      </c>
      <c r="E15" s="1" t="s">
        <v>72</v>
      </c>
      <c r="F15" s="1">
        <v>300</v>
      </c>
      <c r="G15" s="1" t="s">
        <v>73</v>
      </c>
      <c r="H15" s="1">
        <v>344</v>
      </c>
      <c r="I15" s="1" t="s">
        <v>20</v>
      </c>
      <c r="J15" s="1" t="s">
        <v>20</v>
      </c>
      <c r="K15" s="1">
        <v>528</v>
      </c>
      <c r="L15" s="1" t="s">
        <v>21</v>
      </c>
      <c r="M15" s="1">
        <v>10</v>
      </c>
      <c r="N15" s="1">
        <f t="shared" si="0"/>
        <v>52.8</v>
      </c>
      <c r="O15" s="1">
        <f t="shared" si="1"/>
        <v>11.352</v>
      </c>
      <c r="P15" s="1">
        <f t="shared" si="2"/>
        <v>1.1352</v>
      </c>
    </row>
    <row r="16" spans="1:16" x14ac:dyDescent="0.2">
      <c r="A16" s="1" t="s">
        <v>14</v>
      </c>
      <c r="B16" s="1" t="s">
        <v>74</v>
      </c>
      <c r="C16" s="1" t="s">
        <v>16</v>
      </c>
      <c r="D16" s="1" t="s">
        <v>75</v>
      </c>
      <c r="E16" s="1" t="s">
        <v>76</v>
      </c>
      <c r="F16" s="1">
        <v>1584</v>
      </c>
      <c r="G16" s="1" t="s">
        <v>77</v>
      </c>
      <c r="H16" s="1">
        <v>1628</v>
      </c>
      <c r="I16" s="1" t="s">
        <v>20</v>
      </c>
      <c r="J16" s="1" t="s">
        <v>20</v>
      </c>
      <c r="K16" s="1">
        <v>1402</v>
      </c>
      <c r="L16" s="1" t="s">
        <v>21</v>
      </c>
      <c r="M16" s="1">
        <v>10</v>
      </c>
      <c r="N16" s="1">
        <f t="shared" si="0"/>
        <v>140.19999999999999</v>
      </c>
      <c r="O16" s="1">
        <f t="shared" si="1"/>
        <v>53.724000000000004</v>
      </c>
      <c r="P16" s="1">
        <f t="shared" si="2"/>
        <v>5.3724000000000007</v>
      </c>
    </row>
    <row r="17" spans="1:16" x14ac:dyDescent="0.2">
      <c r="A17" s="1" t="s">
        <v>14</v>
      </c>
      <c r="B17" s="1" t="s">
        <v>78</v>
      </c>
      <c r="C17" s="1" t="s">
        <v>16</v>
      </c>
      <c r="D17" s="1" t="s">
        <v>79</v>
      </c>
      <c r="E17" s="1" t="s">
        <v>80</v>
      </c>
      <c r="F17" s="1">
        <v>1534</v>
      </c>
      <c r="G17" s="1" t="s">
        <v>81</v>
      </c>
      <c r="H17" s="1">
        <v>1578</v>
      </c>
      <c r="I17" s="1" t="s">
        <v>20</v>
      </c>
      <c r="J17" s="1" t="s">
        <v>20</v>
      </c>
      <c r="K17" s="1">
        <v>1221</v>
      </c>
      <c r="L17" s="1" t="s">
        <v>21</v>
      </c>
      <c r="M17" s="1">
        <v>10</v>
      </c>
      <c r="N17" s="1">
        <f t="shared" si="0"/>
        <v>122.1</v>
      </c>
      <c r="O17" s="1">
        <f t="shared" si="1"/>
        <v>52.074000000000005</v>
      </c>
      <c r="P17" s="1">
        <f t="shared" si="2"/>
        <v>5.2074000000000007</v>
      </c>
    </row>
    <row r="18" spans="1:16" x14ac:dyDescent="0.2">
      <c r="A18" s="1" t="s">
        <v>14</v>
      </c>
      <c r="B18" s="1" t="s">
        <v>82</v>
      </c>
      <c r="C18" s="1" t="s">
        <v>16</v>
      </c>
      <c r="D18" s="1" t="s">
        <v>83</v>
      </c>
      <c r="E18" s="1" t="s">
        <v>84</v>
      </c>
      <c r="F18" s="1">
        <v>849</v>
      </c>
      <c r="G18" s="1" t="s">
        <v>85</v>
      </c>
      <c r="H18" s="1">
        <v>893</v>
      </c>
      <c r="I18" s="1" t="s">
        <v>20</v>
      </c>
      <c r="J18" s="1" t="s">
        <v>20</v>
      </c>
      <c r="K18" s="1">
        <v>1261</v>
      </c>
      <c r="L18" s="1" t="s">
        <v>21</v>
      </c>
      <c r="M18" s="1">
        <v>10</v>
      </c>
      <c r="N18" s="1">
        <f t="shared" si="0"/>
        <v>126.1</v>
      </c>
      <c r="O18" s="1">
        <f t="shared" si="1"/>
        <v>29.469000000000001</v>
      </c>
      <c r="P18" s="1">
        <f t="shared" si="2"/>
        <v>2.9469000000000003</v>
      </c>
    </row>
    <row r="19" spans="1:16" x14ac:dyDescent="0.2">
      <c r="A19" s="1" t="s">
        <v>14</v>
      </c>
      <c r="B19" s="1" t="s">
        <v>86</v>
      </c>
      <c r="C19" s="1" t="s">
        <v>16</v>
      </c>
      <c r="D19" s="1" t="s">
        <v>87</v>
      </c>
      <c r="E19" s="1" t="s">
        <v>88</v>
      </c>
      <c r="F19" s="1">
        <v>849</v>
      </c>
      <c r="G19" s="1" t="s">
        <v>89</v>
      </c>
      <c r="H19" s="1">
        <v>893</v>
      </c>
      <c r="I19" s="1" t="s">
        <v>20</v>
      </c>
      <c r="J19" s="1" t="s">
        <v>20</v>
      </c>
      <c r="K19" s="1">
        <v>1217</v>
      </c>
      <c r="L19" s="1" t="s">
        <v>21</v>
      </c>
      <c r="M19" s="1">
        <v>10</v>
      </c>
      <c r="N19" s="1">
        <f t="shared" si="0"/>
        <v>121.7</v>
      </c>
      <c r="O19" s="1">
        <f t="shared" si="1"/>
        <v>29.469000000000001</v>
      </c>
      <c r="P19" s="1">
        <f t="shared" si="2"/>
        <v>2.9469000000000003</v>
      </c>
    </row>
    <row r="20" spans="1:16" x14ac:dyDescent="0.2">
      <c r="A20" s="1" t="s">
        <v>14</v>
      </c>
      <c r="B20" s="1" t="s">
        <v>90</v>
      </c>
      <c r="C20" s="1" t="s">
        <v>16</v>
      </c>
      <c r="D20" s="1" t="s">
        <v>91</v>
      </c>
      <c r="E20" s="1" t="s">
        <v>92</v>
      </c>
      <c r="F20" s="1">
        <v>819</v>
      </c>
      <c r="G20" s="1" t="s">
        <v>93</v>
      </c>
      <c r="H20" s="1">
        <v>863</v>
      </c>
      <c r="I20" s="1" t="s">
        <v>20</v>
      </c>
      <c r="J20" s="1" t="s">
        <v>20</v>
      </c>
      <c r="K20" s="1">
        <v>1149</v>
      </c>
      <c r="L20" s="1" t="s">
        <v>21</v>
      </c>
      <c r="M20" s="1">
        <v>10</v>
      </c>
      <c r="N20" s="1">
        <f t="shared" si="0"/>
        <v>114.9</v>
      </c>
      <c r="O20" s="1">
        <f t="shared" si="1"/>
        <v>28.479000000000003</v>
      </c>
      <c r="P20" s="1">
        <f t="shared" si="2"/>
        <v>2.8479000000000001</v>
      </c>
    </row>
    <row r="21" spans="1:16" x14ac:dyDescent="0.2">
      <c r="A21" s="1" t="s">
        <v>14</v>
      </c>
      <c r="B21" s="1" t="s">
        <v>94</v>
      </c>
      <c r="C21" s="1" t="s">
        <v>16</v>
      </c>
      <c r="D21" s="1" t="s">
        <v>95</v>
      </c>
      <c r="E21" s="1" t="s">
        <v>96</v>
      </c>
      <c r="F21" s="1">
        <v>843</v>
      </c>
      <c r="G21" s="1" t="s">
        <v>97</v>
      </c>
      <c r="H21" s="1">
        <v>887</v>
      </c>
      <c r="I21" s="1" t="s">
        <v>20</v>
      </c>
      <c r="J21" s="1" t="s">
        <v>20</v>
      </c>
      <c r="K21" s="1">
        <v>1267</v>
      </c>
      <c r="L21" s="1" t="s">
        <v>21</v>
      </c>
      <c r="M21" s="1">
        <v>10</v>
      </c>
      <c r="N21" s="1">
        <f t="shared" si="0"/>
        <v>126.7</v>
      </c>
      <c r="O21" s="1">
        <f t="shared" si="1"/>
        <v>29.271000000000001</v>
      </c>
      <c r="P21" s="1">
        <f t="shared" si="2"/>
        <v>2.9271000000000003</v>
      </c>
    </row>
    <row r="22" spans="1:16" x14ac:dyDescent="0.2">
      <c r="A22" s="1" t="s">
        <v>14</v>
      </c>
      <c r="B22" s="1" t="s">
        <v>98</v>
      </c>
      <c r="C22" s="1" t="s">
        <v>16</v>
      </c>
      <c r="D22" s="1" t="s">
        <v>99</v>
      </c>
      <c r="E22" s="1" t="s">
        <v>100</v>
      </c>
      <c r="F22" s="1">
        <v>852</v>
      </c>
      <c r="G22" s="1" t="s">
        <v>101</v>
      </c>
      <c r="H22" s="1">
        <v>896</v>
      </c>
      <c r="I22" s="1" t="s">
        <v>20</v>
      </c>
      <c r="J22" s="1" t="s">
        <v>20</v>
      </c>
      <c r="K22" s="1">
        <v>1038</v>
      </c>
      <c r="L22" s="1" t="s">
        <v>21</v>
      </c>
      <c r="M22" s="1">
        <v>10</v>
      </c>
      <c r="N22" s="1">
        <f t="shared" si="0"/>
        <v>103.8</v>
      </c>
      <c r="O22" s="1">
        <f t="shared" si="1"/>
        <v>29.568000000000001</v>
      </c>
      <c r="P22" s="1">
        <f t="shared" si="2"/>
        <v>2.9568000000000003</v>
      </c>
    </row>
    <row r="23" spans="1:16" x14ac:dyDescent="0.2">
      <c r="A23" s="1" t="s">
        <v>14</v>
      </c>
      <c r="B23" s="1" t="s">
        <v>102</v>
      </c>
      <c r="C23" s="1" t="s">
        <v>16</v>
      </c>
      <c r="D23" s="1" t="s">
        <v>103</v>
      </c>
      <c r="E23" s="1" t="s">
        <v>104</v>
      </c>
      <c r="F23" s="1">
        <v>825</v>
      </c>
      <c r="G23" s="1" t="s">
        <v>105</v>
      </c>
      <c r="H23" s="1">
        <v>869</v>
      </c>
      <c r="I23" s="1" t="s">
        <v>20</v>
      </c>
      <c r="J23" s="1" t="s">
        <v>20</v>
      </c>
      <c r="K23" s="1">
        <v>1114</v>
      </c>
      <c r="L23" s="1" t="s">
        <v>21</v>
      </c>
      <c r="M23" s="1">
        <v>10</v>
      </c>
      <c r="N23" s="1">
        <f t="shared" si="0"/>
        <v>111.4</v>
      </c>
      <c r="O23" s="1">
        <f t="shared" si="1"/>
        <v>28.677</v>
      </c>
      <c r="P23" s="1">
        <f t="shared" si="2"/>
        <v>2.8677000000000001</v>
      </c>
    </row>
    <row r="24" spans="1:16" x14ac:dyDescent="0.2">
      <c r="A24" s="1" t="s">
        <v>14</v>
      </c>
      <c r="B24" s="1" t="s">
        <v>106</v>
      </c>
      <c r="C24" s="1" t="s">
        <v>16</v>
      </c>
      <c r="D24" s="1" t="s">
        <v>107</v>
      </c>
      <c r="E24" s="1" t="s">
        <v>108</v>
      </c>
      <c r="F24" s="1">
        <v>915</v>
      </c>
      <c r="G24" s="1" t="s">
        <v>109</v>
      </c>
      <c r="H24" s="1">
        <v>959</v>
      </c>
      <c r="I24" s="1" t="s">
        <v>20</v>
      </c>
      <c r="J24" s="1" t="s">
        <v>20</v>
      </c>
      <c r="K24" s="1">
        <v>1546</v>
      </c>
      <c r="L24" s="1" t="s">
        <v>21</v>
      </c>
      <c r="M24" s="1">
        <v>10</v>
      </c>
      <c r="N24" s="1">
        <f t="shared" si="0"/>
        <v>154.6</v>
      </c>
      <c r="O24" s="1">
        <f t="shared" si="1"/>
        <v>31.647000000000006</v>
      </c>
      <c r="P24" s="1">
        <f t="shared" si="2"/>
        <v>3.1647000000000007</v>
      </c>
    </row>
    <row r="25" spans="1:16" x14ac:dyDescent="0.2">
      <c r="A25" s="1" t="s">
        <v>14</v>
      </c>
      <c r="B25" s="1" t="s">
        <v>110</v>
      </c>
      <c r="C25" s="1" t="s">
        <v>16</v>
      </c>
      <c r="D25" s="1" t="s">
        <v>111</v>
      </c>
      <c r="E25" s="1" t="s">
        <v>112</v>
      </c>
      <c r="F25" s="1">
        <v>915</v>
      </c>
      <c r="G25" s="1" t="s">
        <v>113</v>
      </c>
      <c r="H25" s="1">
        <v>959</v>
      </c>
      <c r="I25" s="1" t="s">
        <v>20</v>
      </c>
      <c r="J25" s="1" t="s">
        <v>20</v>
      </c>
      <c r="K25" s="1">
        <v>1318</v>
      </c>
      <c r="L25" s="1" t="s">
        <v>21</v>
      </c>
      <c r="M25" s="1">
        <v>10</v>
      </c>
      <c r="N25" s="1">
        <f t="shared" si="0"/>
        <v>131.80000000000001</v>
      </c>
      <c r="O25" s="1">
        <f t="shared" si="1"/>
        <v>31.647000000000006</v>
      </c>
      <c r="P25" s="1">
        <f t="shared" si="2"/>
        <v>3.1647000000000007</v>
      </c>
    </row>
    <row r="26" spans="1:16" x14ac:dyDescent="0.2">
      <c r="A26" s="1" t="s">
        <v>14</v>
      </c>
      <c r="B26" s="1" t="s">
        <v>114</v>
      </c>
      <c r="C26" s="1" t="s">
        <v>16</v>
      </c>
      <c r="D26" s="1" t="s">
        <v>115</v>
      </c>
      <c r="E26" s="1" t="s">
        <v>116</v>
      </c>
      <c r="F26" s="1">
        <v>300</v>
      </c>
      <c r="G26" s="1" t="s">
        <v>117</v>
      </c>
      <c r="H26" s="1">
        <v>344</v>
      </c>
      <c r="I26" s="1" t="s">
        <v>20</v>
      </c>
      <c r="J26" s="1" t="s">
        <v>20</v>
      </c>
      <c r="K26" s="1">
        <v>536</v>
      </c>
      <c r="L26" s="1" t="s">
        <v>21</v>
      </c>
      <c r="M26" s="1">
        <v>10</v>
      </c>
      <c r="N26" s="1">
        <f t="shared" si="0"/>
        <v>53.6</v>
      </c>
      <c r="O26" s="1">
        <f t="shared" si="1"/>
        <v>11.352</v>
      </c>
      <c r="P26" s="1">
        <f t="shared" si="2"/>
        <v>1.1352</v>
      </c>
    </row>
    <row r="27" spans="1:16" x14ac:dyDescent="0.2">
      <c r="A27" s="1" t="s">
        <v>14</v>
      </c>
      <c r="B27" s="1" t="s">
        <v>118</v>
      </c>
      <c r="C27" s="1" t="s">
        <v>16</v>
      </c>
      <c r="D27" s="1" t="s">
        <v>119</v>
      </c>
      <c r="E27" s="1" t="s">
        <v>120</v>
      </c>
      <c r="F27" s="1">
        <v>336</v>
      </c>
      <c r="G27" s="1" t="s">
        <v>121</v>
      </c>
      <c r="H27" s="1">
        <v>380</v>
      </c>
      <c r="I27" s="1" t="s">
        <v>20</v>
      </c>
      <c r="J27" s="1" t="s">
        <v>20</v>
      </c>
      <c r="K27" s="1">
        <v>787</v>
      </c>
      <c r="L27" s="1" t="s">
        <v>21</v>
      </c>
      <c r="M27" s="1">
        <v>10</v>
      </c>
      <c r="N27" s="1">
        <f t="shared" si="0"/>
        <v>78.7</v>
      </c>
      <c r="O27" s="1">
        <f t="shared" si="1"/>
        <v>12.540000000000001</v>
      </c>
      <c r="P27" s="1">
        <f t="shared" si="2"/>
        <v>1.254</v>
      </c>
    </row>
    <row r="28" spans="1:16" x14ac:dyDescent="0.2">
      <c r="A28" s="1" t="s">
        <v>14</v>
      </c>
      <c r="B28" s="1" t="s">
        <v>122</v>
      </c>
      <c r="C28" s="1" t="s">
        <v>16</v>
      </c>
      <c r="D28" s="1" t="s">
        <v>123</v>
      </c>
      <c r="E28" s="1" t="s">
        <v>124</v>
      </c>
      <c r="F28" s="1">
        <v>444</v>
      </c>
      <c r="G28" s="1" t="s">
        <v>125</v>
      </c>
      <c r="H28" s="1">
        <v>488</v>
      </c>
      <c r="I28" s="1" t="s">
        <v>20</v>
      </c>
      <c r="J28" s="1" t="s">
        <v>20</v>
      </c>
      <c r="K28" s="1">
        <v>623</v>
      </c>
      <c r="L28" s="1" t="s">
        <v>21</v>
      </c>
      <c r="M28" s="1">
        <v>10</v>
      </c>
      <c r="N28" s="1">
        <f t="shared" si="0"/>
        <v>62.3</v>
      </c>
      <c r="O28" s="1">
        <f t="shared" si="1"/>
        <v>16.103999999999999</v>
      </c>
      <c r="P28" s="1">
        <f t="shared" si="2"/>
        <v>1.6103999999999998</v>
      </c>
    </row>
    <row r="29" spans="1:16" x14ac:dyDescent="0.2">
      <c r="A29" s="1" t="s">
        <v>14</v>
      </c>
      <c r="B29" s="1" t="s">
        <v>126</v>
      </c>
      <c r="C29" s="1" t="s">
        <v>16</v>
      </c>
      <c r="D29" s="1" t="s">
        <v>127</v>
      </c>
      <c r="E29" s="1" t="s">
        <v>128</v>
      </c>
      <c r="F29" s="1">
        <v>300</v>
      </c>
      <c r="G29" s="1" t="s">
        <v>129</v>
      </c>
      <c r="H29" s="1">
        <v>344</v>
      </c>
      <c r="I29" s="1" t="s">
        <v>20</v>
      </c>
      <c r="J29" s="1" t="s">
        <v>20</v>
      </c>
      <c r="K29" s="1">
        <v>517</v>
      </c>
      <c r="L29" s="1" t="s">
        <v>21</v>
      </c>
      <c r="M29" s="1">
        <v>10</v>
      </c>
      <c r="N29" s="1">
        <f t="shared" si="0"/>
        <v>51.7</v>
      </c>
      <c r="O29" s="1">
        <f t="shared" si="1"/>
        <v>11.352</v>
      </c>
      <c r="P29" s="1">
        <f t="shared" si="2"/>
        <v>1.1352</v>
      </c>
    </row>
    <row r="30" spans="1:16" x14ac:dyDescent="0.2">
      <c r="A30" s="1" t="s">
        <v>14</v>
      </c>
      <c r="B30" s="1" t="s">
        <v>130</v>
      </c>
      <c r="C30" s="1" t="s">
        <v>16</v>
      </c>
      <c r="D30" s="1" t="s">
        <v>131</v>
      </c>
      <c r="E30" s="1" t="s">
        <v>132</v>
      </c>
      <c r="F30" s="1">
        <v>300</v>
      </c>
      <c r="G30" s="1" t="s">
        <v>133</v>
      </c>
      <c r="H30" s="1">
        <v>344</v>
      </c>
      <c r="I30" s="1" t="s">
        <v>20</v>
      </c>
      <c r="J30" s="1" t="s">
        <v>20</v>
      </c>
      <c r="K30" s="1">
        <v>456</v>
      </c>
      <c r="L30" s="1" t="s">
        <v>21</v>
      </c>
      <c r="M30" s="1">
        <v>10</v>
      </c>
      <c r="N30" s="1">
        <f t="shared" si="0"/>
        <v>45.6</v>
      </c>
      <c r="O30" s="1">
        <f t="shared" si="1"/>
        <v>11.352</v>
      </c>
      <c r="P30" s="1">
        <f t="shared" si="2"/>
        <v>1.1352</v>
      </c>
    </row>
    <row r="31" spans="1:16" x14ac:dyDescent="0.2">
      <c r="A31" s="1" t="s">
        <v>14</v>
      </c>
      <c r="B31" s="1" t="s">
        <v>134</v>
      </c>
      <c r="C31" s="1" t="s">
        <v>16</v>
      </c>
      <c r="D31" s="1" t="s">
        <v>135</v>
      </c>
      <c r="E31" s="1" t="s">
        <v>136</v>
      </c>
      <c r="F31" s="1">
        <v>597</v>
      </c>
      <c r="G31" s="1" t="s">
        <v>137</v>
      </c>
      <c r="H31" s="1">
        <v>641</v>
      </c>
      <c r="I31" s="1" t="s">
        <v>20</v>
      </c>
      <c r="J31" s="1" t="s">
        <v>20</v>
      </c>
      <c r="K31" s="1">
        <v>1118</v>
      </c>
      <c r="L31" s="1" t="s">
        <v>21</v>
      </c>
      <c r="M31" s="1">
        <v>10</v>
      </c>
      <c r="N31" s="1">
        <f t="shared" si="0"/>
        <v>111.8</v>
      </c>
      <c r="O31" s="1">
        <f t="shared" si="1"/>
        <v>21.153000000000002</v>
      </c>
      <c r="P31" s="1">
        <f t="shared" si="2"/>
        <v>2.1153000000000004</v>
      </c>
    </row>
    <row r="32" spans="1:16" x14ac:dyDescent="0.2">
      <c r="A32" s="1" t="s">
        <v>14</v>
      </c>
      <c r="B32" s="1" t="s">
        <v>138</v>
      </c>
      <c r="C32" s="1" t="s">
        <v>16</v>
      </c>
      <c r="D32" s="1" t="s">
        <v>139</v>
      </c>
      <c r="E32" s="1" t="s">
        <v>140</v>
      </c>
      <c r="F32" s="1">
        <v>360</v>
      </c>
      <c r="G32" s="1" t="s">
        <v>141</v>
      </c>
      <c r="H32" s="1">
        <v>404</v>
      </c>
      <c r="I32" s="1" t="s">
        <v>20</v>
      </c>
      <c r="J32" s="1" t="s">
        <v>20</v>
      </c>
      <c r="K32" s="1">
        <v>779</v>
      </c>
      <c r="L32" s="1" t="s">
        <v>21</v>
      </c>
      <c r="M32" s="1">
        <v>10</v>
      </c>
      <c r="N32" s="1">
        <f t="shared" si="0"/>
        <v>77.900000000000006</v>
      </c>
      <c r="O32" s="1">
        <f t="shared" si="1"/>
        <v>13.332000000000001</v>
      </c>
      <c r="P32" s="1">
        <f t="shared" si="2"/>
        <v>1.3332000000000002</v>
      </c>
    </row>
    <row r="33" spans="1:16" x14ac:dyDescent="0.2">
      <c r="A33" s="1" t="s">
        <v>14</v>
      </c>
      <c r="B33" s="1" t="s">
        <v>142</v>
      </c>
      <c r="C33" s="1" t="s">
        <v>16</v>
      </c>
      <c r="D33" s="1" t="s">
        <v>143</v>
      </c>
      <c r="E33" s="1" t="s">
        <v>144</v>
      </c>
      <c r="F33" s="1">
        <v>363</v>
      </c>
      <c r="G33" s="1" t="s">
        <v>145</v>
      </c>
      <c r="H33" s="1">
        <v>407</v>
      </c>
      <c r="I33" s="1" t="s">
        <v>20</v>
      </c>
      <c r="J33" s="1" t="s">
        <v>20</v>
      </c>
      <c r="K33" s="1">
        <v>703</v>
      </c>
      <c r="L33" s="1" t="s">
        <v>21</v>
      </c>
      <c r="M33" s="1">
        <v>10</v>
      </c>
      <c r="N33" s="1">
        <f t="shared" si="0"/>
        <v>70.3</v>
      </c>
      <c r="O33" s="1">
        <f t="shared" si="1"/>
        <v>13.431000000000001</v>
      </c>
      <c r="P33" s="1">
        <f t="shared" si="2"/>
        <v>1.3431000000000002</v>
      </c>
    </row>
    <row r="34" spans="1:16" x14ac:dyDescent="0.2">
      <c r="A34" s="1" t="s">
        <v>14</v>
      </c>
      <c r="B34" s="1" t="s">
        <v>146</v>
      </c>
      <c r="C34" s="1" t="s">
        <v>16</v>
      </c>
      <c r="D34" s="1" t="s">
        <v>147</v>
      </c>
      <c r="E34" s="1" t="s">
        <v>148</v>
      </c>
      <c r="F34" s="1">
        <v>300</v>
      </c>
      <c r="G34" s="1" t="s">
        <v>149</v>
      </c>
      <c r="H34" s="1">
        <v>344</v>
      </c>
      <c r="I34" s="1" t="s">
        <v>20</v>
      </c>
      <c r="J34" s="1" t="s">
        <v>20</v>
      </c>
      <c r="K34" s="1">
        <v>558</v>
      </c>
      <c r="L34" s="1" t="s">
        <v>21</v>
      </c>
      <c r="M34" s="1">
        <v>10</v>
      </c>
      <c r="N34" s="1">
        <f t="shared" si="0"/>
        <v>55.8</v>
      </c>
      <c r="O34" s="1">
        <f t="shared" si="1"/>
        <v>11.352</v>
      </c>
      <c r="P34" s="1">
        <f t="shared" si="2"/>
        <v>1.1352</v>
      </c>
    </row>
    <row r="35" spans="1:16" x14ac:dyDescent="0.2">
      <c r="A35" s="1" t="s">
        <v>14</v>
      </c>
      <c r="B35" s="1" t="s">
        <v>150</v>
      </c>
      <c r="C35" s="1" t="s">
        <v>16</v>
      </c>
      <c r="D35" s="1" t="s">
        <v>151</v>
      </c>
      <c r="E35" s="1" t="s">
        <v>152</v>
      </c>
      <c r="F35" s="1">
        <v>300</v>
      </c>
      <c r="G35" s="1" t="s">
        <v>153</v>
      </c>
      <c r="H35" s="1">
        <v>344</v>
      </c>
      <c r="I35" s="1" t="s">
        <v>20</v>
      </c>
      <c r="J35" s="1" t="s">
        <v>20</v>
      </c>
      <c r="K35" s="1">
        <v>569</v>
      </c>
      <c r="L35" s="1" t="s">
        <v>21</v>
      </c>
      <c r="M35" s="1">
        <v>10</v>
      </c>
      <c r="N35" s="1">
        <f t="shared" si="0"/>
        <v>56.9</v>
      </c>
      <c r="O35" s="1">
        <f t="shared" si="1"/>
        <v>11.352</v>
      </c>
      <c r="P35" s="1">
        <f t="shared" si="2"/>
        <v>1.1352</v>
      </c>
    </row>
  </sheetData>
  <pageMargins left="0.75" right="0.75" top="1" bottom="1" header="0.5" footer="0.5"/>
  <pageSetup paperSize="9" scale="6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platemap_pSHPs0622B228801IQ_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Sek</cp:lastModifiedBy>
  <cp:lastPrinted>2026-08-24T05:30:08Z</cp:lastPrinted>
  <dcterms:created xsi:type="dcterms:W3CDTF">2026-07-21T23:58:04Z</dcterms:created>
  <dcterms:modified xsi:type="dcterms:W3CDTF">2026-08-24T05:30:14Z</dcterms:modified>
</cp:coreProperties>
</file>