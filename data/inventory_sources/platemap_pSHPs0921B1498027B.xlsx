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kkevin/Library/CloudStorage/Nextcloud-sek0002@nc․sek-lab․com/Work/2026/cloning/GGorder4/"/>
    </mc:Choice>
  </mc:AlternateContent>
  <xr:revisionPtr revIDLastSave="0" documentId="13_ncr:9_{93C748EC-A5AA-CC44-BF01-F7568BC53281}" xr6:coauthVersionLast="47" xr6:coauthVersionMax="47" xr10:uidLastSave="{00000000-0000-0000-0000-000000000000}"/>
  <bookViews>
    <workbookView xWindow="30240" yWindow="-6120" windowWidth="38400" windowHeight="21100" xr2:uid="{39B00684-3DC9-6C4D-9108-C1EBC39DA123}"/>
  </bookViews>
  <sheets>
    <sheet name="platemap_pSHPs0921B1498027B" sheetId="1" r:id="rId1"/>
  </sheets>
  <definedNames>
    <definedName name="_xlnm._FilterDatabase" localSheetId="0" hidden="1">platemap_pSHPs0921B1498027B!$A$1:$Q$7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" i="1" l="1"/>
  <c r="P7" i="1"/>
  <c r="Q7" i="1" s="1"/>
  <c r="P6" i="1"/>
  <c r="Q6" i="1" s="1"/>
  <c r="O6" i="1"/>
  <c r="P5" i="1"/>
  <c r="Q5" i="1" s="1"/>
  <c r="O5" i="1"/>
  <c r="P4" i="1"/>
  <c r="Q4" i="1" s="1"/>
  <c r="O4" i="1"/>
  <c r="P3" i="1"/>
  <c r="Q3" i="1" s="1"/>
  <c r="O3" i="1"/>
  <c r="P2" i="1"/>
  <c r="Q2" i="1" s="1"/>
  <c r="O2" i="1"/>
</calcChain>
</file>

<file path=xl/sharedStrings.xml><?xml version="1.0" encoding="utf-8"?>
<sst xmlns="http://schemas.openxmlformats.org/spreadsheetml/2006/main" count="77" uniqueCount="46">
  <si>
    <t>Product Type</t>
  </si>
  <si>
    <t>Name</t>
  </si>
  <si>
    <t>Plate ID</t>
  </si>
  <si>
    <t>Well Location</t>
  </si>
  <si>
    <t>Insert Sequence</t>
  </si>
  <si>
    <t>Insert Length</t>
  </si>
  <si>
    <t>Construct Sequence (Insert + Adapters)</t>
  </si>
  <si>
    <t>Construct Length (Insert + Adapters)</t>
  </si>
  <si>
    <t>Assembly QC</t>
  </si>
  <si>
    <t>Yield QC</t>
  </si>
  <si>
    <t>Yield (ng)</t>
  </si>
  <si>
    <t>Order #</t>
  </si>
  <si>
    <t>Custom Label</t>
  </si>
  <si>
    <t>Gene Fragments with adapters</t>
  </si>
  <si>
    <t>F25</t>
  </si>
  <si>
    <t>pSHPs0921B1498027B</t>
  </si>
  <si>
    <t>A1</t>
  </si>
  <si>
    <t>GGTCTCATCTGCCTGCTGGGGAGCCTGGGGACTTTCCACACCCTAACTGACACACATTCCACAGCTGCATTAATGAATCGGCCAACGCGCGGGGAGAGGCGGTTTGCGTATTGGGCGCTCTTCCGCTTCCTCGCTCACTGACTCGCTGCGCTCGGTCGTTCCGAGACCACCGCAAGGGCAGAGTGAGTCAACCTACCTGGTGCGTATTCCTCTTGCGCTGATTGGTACGACGCGTTTACAAAGATCCTCGTCATGGGACTCGGTCCTAGCATTTGTCCATATCAGTTGAAGTATACGAGA</t>
  </si>
  <si>
    <t>CAATCCGCCCTCACTACAACCGGGTCTCATCTGCCTGCTGGGGAGCCTGGGGACTTTCCACACCCTAACTGACACACATTCCACAGCTGCATTAATGAATCGGCCAACGCGCGGGGAGAGGCGGTTTGCGTATTGGGCGCTCTTCCGCTTCCTCGCTCACTGACTCGCTGCGCTCGGTCGTTCCGAGACCACCGCAAGGGCAGAGTGAGTCAACCTACCTGGTGCGTATTCCTCTTGCGCTGATTGGTACGACGCGTTTACAAAGATCCTCGTCATGGGACTCGGTCCTAGCATTTGTCCATATCAGTTGAAGTATACGAGACTACTCTGGCGTCGATGAGGGA</t>
  </si>
  <si>
    <t>Pass</t>
  </si>
  <si>
    <t>Q-721587</t>
  </si>
  <si>
    <t>GGOrder4</t>
  </si>
  <si>
    <t>F26</t>
  </si>
  <si>
    <t>B1</t>
  </si>
  <si>
    <t>GGTCTCAGTTCGGCTGCGGCGAGCGGTATCAGCTCACTCAAAGGCGGTAATACGGTTATCCACAGAATCAGGGGATAACGCAGGAAAGAACATGTGAGCAAAAGGCCAGCAAAAGGCCAGGAACCGTAAAAAGGCCGCGTTGCTGGCGTTTTTCCGAGACCCTTCCAAATCTTGAAGATCTCCGTTGTCACATGTCGCGCGTTGATTGCCATAGTGGGATCGGTATGTGAAACTCCGCAAACCTCCTATCGAGACAGCGATCTCTAGGGTCAGCCCGCTGATTGAGGATATCGGGTGAAT</t>
  </si>
  <si>
    <t>CAATCCGCCCTCACTACAACCGGGTCTCAGTTCGGCTGCGGCGAGCGGTATCAGCTCACTCAAAGGCGGTAATACGGTTATCCACAGAATCAGGGGATAACGCAGGAAAGAACATGTGAGCAAAAGGCCAGCAAAAGGCCAGGAACCGTAAAAAGGCCGCGTTGCTGGCGTTTTTCCGAGACCCTTCCAAATCTTGAAGATCTCCGTTGTCACATGTCGCGCGTTGATTGCCATAGTGGGATCGGTATGTGAAACTCCGCAAACCTCCTATCGAGACAGCGATCTCTAGGGTCAGCCCGCTGATTGAGGATATCGGGTGAATCTACTCTGGCGTCGATGAGGGA</t>
  </si>
  <si>
    <t>D7B-LeuZip-ZBTB32-BTB-stop</t>
  </si>
  <si>
    <t>C1</t>
  </si>
  <si>
    <t>CGTCTCACTCTGAAGAACTGCTGAGCAAAAACTATCATCTGGAAAACGAAGTGGCGCGCCTGAAAAAAGATCCAGGCCTGAAGAAACATCAGGAGGAGCCAGAGAAACCCTCAAGGAATCCTGAGAGAGAACTGGGGGACCCTGGAGAGAAGCAGAAACCAGAACAGGTTTCTAGAACTGGTGGGAGAGAACAGGAGATGTTGCACAAGCACTCGCCACCAAGAGGCAGACCCGAGATGGCAGGAGCAACGCAGGAGGCTCAGCAGGAACAGACCAGGTCAAAGGAGAAACGCCTCCAAGCCCCTGTTGGCCAAAGGGGAGCAGATGGGAAGCATGGAGTGCTCACGTGGTTGAGGGAAAATCCAGGGGGCTCTGAGGAAAGTCTGCGCAAGCTCCCTGGCCCCCTTCCCCCAGCAGGCTCCCTGCAAACCAGCGTCACCCCTAGGCCCTCGTGGGCTGAGGCCCCTTGGTTGGTGGGGGGCCAGCCTGCCCTGTGGAGCATCCTGCTGATGCCGCCCAGATATGGCATTCCCTTCTACCATAGCACCCCCACCACTGGAGCCTGGCAGGAGGTCTGGCGGGAACAGAGGATCCCACTGTCCCTAAATGCCCCCAAAGGGCTCTGGAGCCAGAACCAGTTGGCCTCCTCCAGCCCTACCCCAGGTTCCCTCCCCCAGGGCCCCGCACAGCTCAGCCCTGGGGAGATGGAAGAGTCTGATCAGGGGCACACAGGCGCACTTGCAACCTGTGCGGGTCATGAGGACAAGGCAGGCTGCCCACCTCGCCCGCACCCTCCCCCGGCCCCTCCTGCTCGGTCTCGGCCCTATGCGTGCTCTGTCTGTGGAAAGAGGTTTTCACTCAAGCATCAGATGGAAACGCACTACCGAGTCCACACAGGAGAGAAGCCCTTCTCCTGTAGCCTTTGTCCTCAGCGCTCCCGGGACTTCTCGGCCATGACCAAGCACCTGCGGACACACGGGGCCGCTCCGTACCGCTGCTCCCTGTGCGGGGCCGGCTGTCCCAGCCTGGCCTCCATGCAGGCGCACATGCGCGGTCACTCGCCCAGCCAACTCCCGCCCGGATGGACCATCCGCTCCACCTTCCTCTACTCCTCCTCGAGGCCGTCACGGCCCTCGACCTCTCCCTGTTGTCCTTCTTCCTCCACCACCTGACTCGGGAGACG</t>
  </si>
  <si>
    <t>CAATCCGCCCTCACTACAACCGCGTCTCACTCTGAAGAACTGCTGAGCAAAAACTATCATCTGGAAAACGAAGTGGCGCGCCTGAAAAAAGATCCAGGCCTGAAGAAACATCAGGAGGAGCCAGAGAAACCCTCAAGGAATCCTGAGAGAGAACTGGGGGACCCTGGAGAGAAGCAGAAACCAGAACAGGTTTCTAGAACTGGTGGGAGAGAACAGGAGATGTTGCACAAGCACTCGCCACCAAGAGGCAGACCCGAGATGGCAGGAGCAACGCAGGAGGCTCAGCAGGAACAGACCAGGTCAAAGGAGAAACGCCTCCAAGCCCCTGTTGGCCAAAGGGGAGCAGATGGGAAGCATGGAGTGCTCACGTGGTTGAGGGAAAATCCAGGGGGCTCTGAGGAAAGTCTGCGCAAGCTCCCTGGCCCCCTTCCCCCAGCAGGCTCCCTGCAAACCAGCGTCACCCCTAGGCCCTCGTGGGCTGAGGCCCCTTGGTTGGTGGGGGGCCAGCCTGCCCTGTGGAGCATCCTGCTGATGCCGCCCAGATATGGCATTCCCTTCTACCATAGCACCCCCACCACTGGAGCCTGGCAGGAGGTCTGGCGGGAACAGAGGATCCCACTGTCCCTAAATGCCCCCAAAGGGCTCTGGAGCCAGAACCAGTTGGCCTCCTCCAGCCCTACCCCAGGTTCCCTCCCCCAGGGCCCCGCACAGCTCAGCCCTGGGGAGATGGAAGAGTCTGATCAGGGGCACACAGGCGCACTTGCAACCTGTGCGGGTCATGAGGACAAGGCAGGCTGCCCACCTCGCCCGCACCCTCCCCCGGCCCCTCCTGCTCGGTCTCGGCCCTATGCGTGCTCTGTCTGTGGAAAGAGGTTTTCACTCAAGCATCAGATGGAAACGCACTACCGAGTCCACACAGGAGAGAAGCCCTTCTCCTGTAGCCTTTGTCCTCAGCGCTCCCGGGACTTCTCGGCCATGACCAAGCACCTGCGGACACACGGGGCCGCTCCGTACCGCTGCTCCCTGTGCGGGGCCGGCTGTCCCAGCCTGGCCTCCATGCAGGCGCACATGCGCGGTCACTCGCCCAGCCAACTCCCGCCCGGATGGACCATCCGCTCCACCTTCCTCTACTCCTCCTCGAGGCCGTCACGGCCCTCGACCTCTCCCTGTTGTCCTTCTTCCTCCACCACCTGACTCGGGAGACGCTACTCTGGCGTCGATGAGGGA</t>
  </si>
  <si>
    <t>D7B-ZBTB32-IDR-stop</t>
  </si>
  <si>
    <t>D1</t>
  </si>
  <si>
    <t>CGTCTCACTCTATGTCCCTGCCCCCCATAAGACTGCCCAGCCCCTATGGCTCTGATCGGCTGGTACAGCTAGCAGCCAGGCTCCGGCCAGCACTCTGTGATACTCTGATCACCGTAGGGAGCCAGGAGTTCCCCGCCCACAGCCTGGTGCTAGCAGGTGTCAGCCAGCAGCTGGGCCGCAGGGGCCAGTGGGCTCTGGGAGAAGGCATCAGCCCTTCTACCTTTGCCCAGCTCCTGAACTTTGTGTATGGGGAGAGTGTAGAGCTGCAGCCTGGAGAGCTAAGGCCCCTTCAGGAGGCGGCCAGGGCCTTGGGAGTGCAGTCCCTGGAAGAGGCATGCTGGAGGGCTCGAGGGGACAGGGCTAAAAAGCCAATCCCACTGTCCCTAAATGCCCCCAAAGGGCTCTGGAGCCAGAACCAGTTGGCCTCCTCCAGCCCTACCCCAGGTTCCCTCCCCCAGGGCCCCGCACAGCTCAGCCCTGGGGAGATGGAAGAGTCTGATCAGGGGCACACAGGCGCACTTGCAACCTGTGCGGGTCATGAGGACAAGGCAGGCTGCCCACCTCGCCCGCACCCTCCCCCGGCCCCTCCTGCTCGGTCTCGGCCCTATGCGTGCTCTGTCTGTGGAAAGAGGTTTTCACTCAAGCATCAGATGGAAACGCACTACCGAGTCCACACAGGAGAGAAGCCCTTCTCCTGTAGCCTTTGTCCTCAGCGCTCCCGGGACTTCTCGGCCATGACCAAGCACCTGCGGACACACGGGGCCGCTCCGTACCGCTGCTCCCTGTGCGGGGCCGGCTGTCCCAGCCTGGCCTCCATGCAGGCGCACATGCGCGGTCACTCGCCCAGCCAACTCCCGCCCGGATGGACCATCCGCTCCACCTTCCTCTACTCCTCCTCGAGGCCGTCACGGCCCTCGACCTCTCCCTGTTGTCCTTCTTCCTCCACCACCTGACTCGGGAGACG</t>
  </si>
  <si>
    <t>CAATCCGCCCTCACTACAACCGCGTCTCACTCTATGTCCCTGCCCCCCATAAGACTGCCCAGCCCCTATGGCTCTGATCGGCTGGTACAGCTAGCAGCCAGGCTCCGGCCAGCACTCTGTGATACTCTGATCACCGTAGGGAGCCAGGAGTTCCCCGCCCACAGCCTGGTGCTAGCAGGTGTCAGCCAGCAGCTGGGCCGCAGGGGCCAGTGGGCTCTGGGAGAAGGCATCAGCCCTTCTACCTTTGCCCAGCTCCTGAACTTTGTGTATGGGGAGAGTGTAGAGCTGCAGCCTGGAGAGCTAAGGCCCCTTCAGGAGGCGGCCAGGGCCTTGGGAGTGCAGTCCCTGGAAGAGGCATGCTGGAGGGCTCGAGGGGACAGGGCTAAAAAGCCAATCCCACTGTCCCTAAATGCCCCCAAAGGGCTCTGGAGCCAGAACCAGTTGGCCTCCTCCAGCCCTACCCCAGGTTCCCTCCCCCAGGGCCCCGCACAGCTCAGCCCTGGGGAGATGGAAGAGTCTGATCAGGGGCACACAGGCGCACTTGCAACCTGTGCGGGTCATGAGGACAAGGCAGGCTGCCCACCTCGCCCGCACCCTCCCCCGGCCCCTCCTGCTCGGTCTCGGCCCTATGCGTGCTCTGTCTGTGGAAAGAGGTTTTCACTCAAGCATCAGATGGAAACGCACTACCGAGTCCACACAGGAGAGAAGCCCTTCTCCTGTAGCCTTTGTCCTCAGCGCTCCCGGGACTTCTCGGCCATGACCAAGCACCTGCGGACACACGGGGCCGCTCCGTACCGCTGCTCCCTGTGCGGGGCCGGCTGTCCCAGCCTGGCCTCCATGCAGGCGCACATGCGCGGTCACTCGCCCAGCCAACTCCCGCCCGGATGGACCATCCGCTCCACCTTCCTCTACTCCTCCTCGAGGCCGTCACGGCCCTCGACCTCTCCCTGTTGTCCTTCTTCCTCCACCACCTGACTCGGGAGACGCTACTCTGGCGTCGATGAGGGA</t>
  </si>
  <si>
    <t>D7B-LeuZip-ZBTB32-BTBIDR-stop</t>
  </si>
  <si>
    <t>E1</t>
  </si>
  <si>
    <t>CGTCTCACTCTGAAGAACTGCTGAGCAAAAACTATCATCTGGAAAACGAAGTGGCGCGCCTGAAAAAAATCCCACTGTCCCTAAATGCCCCCAAAGGGCTCTGGAGCCAGAACCAGTTGGCCTCCTCCAGCCCTACCCCAGGTTCCCTCCCCCAGGGCCCCGCACAGCTCAGCCCTGGGGAGATGGAAGAGTCTGATCAGGGGCACACAGGCGCACTTGCAACCTGTGCGGGTCATGAGGACAAGGCAGGCTGCCCACCTCGCCCGCACCCTCCCCCGGCCCCTCCTGCTCGGTCTCGGCCCTATGCGTGCTCTGTCTGTGGAAAGAGGTTTTCACTCAAGCATCAGATGGAAACGCACTACCGAGTCCACACAGGAGAGAAGCCCTTCTCCTGTAGCCTTTGTCCTCAGCGCTCCCGGGACTTCTCGGCCATGACCAAGCACCTGCGGACACACGGGGCCGCTCCGTACCGCTGCTCCCTGTGCGGGGCCGGCTGTCCCAGCCTGGCCTCCATGCAGGCGCACATGCGCGGTCACTCGCCCAGCCAACTCCCGCCCGGATGGACCATCCGCTCCACCTTCCTCTACTCCTCCTCGAGGCCGTCACGGCCCTCGACCTCTCCCTGTTGTCCTTCTTCCTCCACCACCTGACTCGGGAGACG</t>
  </si>
  <si>
    <t>CAATCCGCCCTCACTACAACCGCGTCTCACTCTGAAGAACTGCTGAGCAAAAACTATCATCTGGAAAACGAAGTGGCGCGCCTGAAAAAAATCCCACTGTCCCTAAATGCCCCCAAAGGGCTCTGGAGCCAGAACCAGTTGGCCTCCTCCAGCCCTACCCCAGGTTCCCTCCCCCAGGGCCCCGCACAGCTCAGCCCTGGGGAGATGGAAGAGTCTGATCAGGGGCACACAGGCGCACTTGCAACCTGTGCGGGTCATGAGGACAAGGCAGGCTGCCCACCTCGCCCGCACCCTCCCCCGGCCCCTCCTGCTCGGTCTCGGCCCTATGCGTGCTCTGTCTGTGGAAAGAGGTTTTCACTCAAGCATCAGATGGAAACGCACTACCGAGTCCACACAGGAGAGAAGCCCTTCTCCTGTAGCCTTTGTCCTCAGCGCTCCCGGGACTTCTCGGCCATGACCAAGCACCTGCGGACACACGGGGCCGCTCCGTACCGCTGCTCCCTGTGCGGGGCCGGCTGTCCCAGCCTGGCCTCCATGCAGGCGCACATGCGCGGTCACTCGCCCAGCCAACTCCCGCCCGGATGGACCATCCGCTCCACCTTCCTCTACTCCTCCTCGAGGCCGTCACGGCCCTCGACCTCTCCCTGTTGTCCTTCTTCCTCCACCACCTGACTCGGGAGACGCTACTCTGGCGTCGATGAGGGA</t>
  </si>
  <si>
    <t>D7B-ZBTB32-BTB-stop</t>
  </si>
  <si>
    <t>F1</t>
  </si>
  <si>
    <t>CGTCTCACTCTGATCCAGGCCTGAAGAAACATCAGGAGGAGCCAGAGAAACCCTCAAGGAATCCTGAGAGAGAACTGGGGGACCCTGGAGAGAAGCAGAAACCAGAACAGGTTTCTAGAACTGGTGGGAGAGAACAGGAGATGTTGCACAAGCACTCGCCACCAAGAGGCAGACCCGAGATGGCAGGAGCAACGCAGGAGGCTCAGCAGGAACAGACCAGGTCAAAGGAGAAACGCCTCCAAGCCCCTGTTGGCCAAAGGGGAGCAGATGGGAAGCATGGAGTGCTCACGTGGTTGAGGGAAAATCCAGGGGGCTCTGAGGAAAGTCTGCGCAAGCTCCCTGGCCCCCTTCCCCCAGCAGGCTCCCTGCAAACCAGCGTCACCCCTAGGCCCTCGTGGGCTGAGGCCCCTTGGTTGGTGGGGGGCCAGCCTGCCCTGTGGAGCATCCTGCTGATGCCGCCCAGATATGGCATTCCCTTCTACCATAGCACCCCCACCACTGGAGCCTGGCAGGAGGTCTGGCGGGAACAGAGGATCCCACTGTCCCTAAATGCCCCCAAAGGGCTCTGGAGCCAGAACCAGTTGGCCTCCTCCAGCCCTACCCCAGGTTCCCTCCCCCAGGGCCCCGCACAGCTCAGCCCTGGGGAGATGGAAGAGTCTGATCAGGGGCACACAGGCGCACTTGCAACCTGTGCGGGTCATGAGGACAAGGCAGGCTGCCCACCTCGCCCGCACCCTCCCCCGGCCCCTCCTGCTCGGTCTCGGCCCTATGCGTGCTCTGTCTGTGGAAAGAGGTTTTCACTCAAGCATCAGATGGAAACGCACTACCGAGTCCACACAGGAGAGAAGCCCTTCTCCTGTAGCCTTTGTCCTCAGCGCTCCCGGGACTTCTCGGCCATGACCAAGCACCTGCGGACACACGGGGCCGCTCCGTACCGCTGCTCCCTGTGCGGGGCCGGCTGTCCCAGCCTGGCCTCCATGCAGGCGCACATGCGCGGTCACTCGCCCAGCCAACTCCCGCCCGGATGGACCATCCGCTCCACCTTCCTCTACTCCTCCTCGAGGCCGTCACGGCCCTCGACCTCTCCCTGTTGTCCTTCTTCCTCCACCACCTGACTCGGGAGACG</t>
  </si>
  <si>
    <t>CAATCCGCCCTCACTACAACCGCGTCTCACTCTGATCCAGGCCTGAAGAAACATCAGGAGGAGCCAGAGAAACCCTCAAGGAATCCTGAGAGAGAACTGGGGGACCCTGGAGAGAAGCAGAAACCAGAACAGGTTTCTAGAACTGGTGGGAGAGAACAGGAGATGTTGCACAAGCACTCGCCACCAAGAGGCAGACCCGAGATGGCAGGAGCAACGCAGGAGGCTCAGCAGGAACAGACCAGGTCAAAGGAGAAACGCCTCCAAGCCCCTGTTGGCCAAAGGGGAGCAGATGGGAAGCATGGAGTGCTCACGTGGTTGAGGGAAAATCCAGGGGGCTCTGAGGAAAGTCTGCGCAAGCTCCCTGGCCCCCTTCCCCCAGCAGGCTCCCTGCAAACCAGCGTCACCCCTAGGCCCTCGTGGGCTGAGGCCCCTTGGTTGGTGGGGGGCCAGCCTGCCCTGTGGAGCATCCTGCTGATGCCGCCCAGATATGGCATTCCCTTCTACCATAGCACCCCCACCACTGGAGCCTGGCAGGAGGTCTGGCGGGAACAGAGGATCCCACTGTCCCTAAATGCCCCCAAAGGGCTCTGGAGCCAGAACCAGTTGGCCTCCTCCAGCCCTACCCCAGGTTCCCTCCCCCAGGGCCCCGCACAGCTCAGCCCTGGGGAGATGGAAGAGTCTGATCAGGGGCACACAGGCGCACTTGCAACCTGTGCGGGTCATGAGGACAAGGCAGGCTGCCCACCTCGCCCGCACCCTCCCCCGGCCCCTCCTGCTCGGTCTCGGCCCTATGCGTGCTCTGTCTGTGGAAAGAGGTTTTCACTCAAGCATCAGATGGAAACGCACTACCGAGTCCACACAGGAGAGAAGCCCTTCTCCTGTAGCCTTTGTCCTCAGCGCTCCCGGGACTTCTCGGCCATGACCAAGCACCTGCGGACACACGGGGCCGCTCCGTACCGCTGCTCCCTGTGCGGGGCCGGCTGTCCCAGCCTGGCCTCCATGCAGGCGCACATGCGCGGTCACTCGCCCAGCCAACTCCCGCCCGGATGGACCATCCGCTCCACCTTCCTCTACTCCTCCTCGAGGCCGTCACGGCCCTCGACCTCTCCCTGTTGTCCTTCTTCCTCCACCACCTGACTCGGGAGACGCTACTCTGGCGTCGATGAGGGA</t>
  </si>
  <si>
    <t>Conc (ng/uL)</t>
  </si>
  <si>
    <t>H2O</t>
  </si>
  <si>
    <t>Mass (0.05pmol)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</si>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</sst>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91446-901C-8648-9100-E629E6CA2E0E}">
  <sheetPr>
    <pageSetUpPr fitToPage="1"/>
  </sheetPr>
  <dimension ref="A1:Q7"/>
  <sheetViews>
    <sheetView tabSelected="1" workbookViewId="0">
      <selection activeCell="R38" sqref="R38"/>
    </sheetView>
  </sheetViews>
  <sheetFormatPr baseColWidth="10" defaultRowHeight="16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42</v>
      </c>
      <c r="O1" s="1" t="s">
        <v>43</v>
      </c>
      <c r="P1" s="1" t="s">
        <v>44</v>
      </c>
      <c r="Q1" s="1" t="s">
        <v>45</v>
      </c>
    </row>
    <row r="2" spans="1:17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300</v>
      </c>
      <c r="G2" t="s">
        <v>18</v>
      </c>
      <c r="H2">
        <v>344</v>
      </c>
      <c r="I2" t="s">
        <v>19</v>
      </c>
      <c r="J2" t="s">
        <v>19</v>
      </c>
      <c r="K2">
        <v>921</v>
      </c>
      <c r="L2" t="s">
        <v>20</v>
      </c>
      <c r="M2" t="s">
        <v>21</v>
      </c>
      <c r="N2" s="1">
        <v>10</v>
      </c>
      <c r="O2">
        <f>K2/N2</f>
        <v>92.1</v>
      </c>
      <c r="P2">
        <f>(H2*330*2/1000)*0.05</f>
        <v>11.352</v>
      </c>
      <c r="Q2">
        <f>P2/N2</f>
        <v>1.1352</v>
      </c>
    </row>
    <row r="3" spans="1:17" x14ac:dyDescent="0.2">
      <c r="A3" t="s">
        <v>13</v>
      </c>
      <c r="B3" t="s">
        <v>22</v>
      </c>
      <c r="C3" t="s">
        <v>15</v>
      </c>
      <c r="D3" t="s">
        <v>23</v>
      </c>
      <c r="E3" t="s">
        <v>24</v>
      </c>
      <c r="F3">
        <v>300</v>
      </c>
      <c r="G3" t="s">
        <v>25</v>
      </c>
      <c r="H3">
        <v>344</v>
      </c>
      <c r="I3" t="s">
        <v>19</v>
      </c>
      <c r="J3" t="s">
        <v>19</v>
      </c>
      <c r="K3">
        <v>785</v>
      </c>
      <c r="L3" t="s">
        <v>20</v>
      </c>
      <c r="M3" t="s">
        <v>21</v>
      </c>
      <c r="N3" s="1">
        <v>10</v>
      </c>
      <c r="O3">
        <f>K3/N3</f>
        <v>78.5</v>
      </c>
      <c r="P3">
        <f>(H3*330*2/1000)*0.05</f>
        <v>11.352</v>
      </c>
      <c r="Q3">
        <f>P3/N3</f>
        <v>1.1352</v>
      </c>
    </row>
    <row r="4" spans="1:17" x14ac:dyDescent="0.2">
      <c r="A4" t="s">
        <v>13</v>
      </c>
      <c r="B4" t="s">
        <v>26</v>
      </c>
      <c r="C4" t="s">
        <v>15</v>
      </c>
      <c r="D4" t="s">
        <v>27</v>
      </c>
      <c r="E4" t="s">
        <v>28</v>
      </c>
      <c r="F4">
        <v>1183</v>
      </c>
      <c r="G4" t="s">
        <v>29</v>
      </c>
      <c r="H4">
        <v>1227</v>
      </c>
      <c r="I4" t="s">
        <v>19</v>
      </c>
      <c r="J4" t="s">
        <v>19</v>
      </c>
      <c r="K4">
        <v>1279</v>
      </c>
      <c r="L4" t="s">
        <v>20</v>
      </c>
      <c r="M4" t="s">
        <v>21</v>
      </c>
      <c r="N4" s="1">
        <v>25</v>
      </c>
      <c r="O4">
        <f>K4/N4</f>
        <v>51.16</v>
      </c>
      <c r="P4">
        <f>(H4*330*2/1000)*0.05</f>
        <v>40.491000000000007</v>
      </c>
      <c r="Q4">
        <f>P4/N4</f>
        <v>1.6196400000000002</v>
      </c>
    </row>
    <row r="5" spans="1:17" x14ac:dyDescent="0.2">
      <c r="A5" t="s">
        <v>13</v>
      </c>
      <c r="B5" t="s">
        <v>30</v>
      </c>
      <c r="C5" t="s">
        <v>15</v>
      </c>
      <c r="D5" t="s">
        <v>31</v>
      </c>
      <c r="E5" t="s">
        <v>32</v>
      </c>
      <c r="F5">
        <v>964</v>
      </c>
      <c r="G5" t="s">
        <v>33</v>
      </c>
      <c r="H5">
        <v>1008</v>
      </c>
      <c r="I5" t="s">
        <v>19</v>
      </c>
      <c r="J5" t="s">
        <v>19</v>
      </c>
      <c r="K5">
        <v>1726</v>
      </c>
      <c r="L5" t="s">
        <v>20</v>
      </c>
      <c r="M5" t="s">
        <v>21</v>
      </c>
      <c r="N5" s="1">
        <v>25</v>
      </c>
      <c r="O5">
        <f>K5/N5</f>
        <v>69.040000000000006</v>
      </c>
      <c r="P5">
        <f>(H5*330*2/1000)*0.05</f>
        <v>33.264000000000003</v>
      </c>
      <c r="Q5">
        <f>P5/N5</f>
        <v>1.3305600000000002</v>
      </c>
    </row>
    <row r="6" spans="1:17" x14ac:dyDescent="0.2">
      <c r="A6" t="s">
        <v>13</v>
      </c>
      <c r="B6" t="s">
        <v>34</v>
      </c>
      <c r="C6" t="s">
        <v>15</v>
      </c>
      <c r="D6" t="s">
        <v>35</v>
      </c>
      <c r="E6" t="s">
        <v>36</v>
      </c>
      <c r="F6">
        <v>661</v>
      </c>
      <c r="G6" t="s">
        <v>37</v>
      </c>
      <c r="H6">
        <v>705</v>
      </c>
      <c r="I6" t="s">
        <v>19</v>
      </c>
      <c r="J6" t="s">
        <v>19</v>
      </c>
      <c r="K6">
        <v>685</v>
      </c>
      <c r="L6" t="s">
        <v>20</v>
      </c>
      <c r="M6" t="s">
        <v>21</v>
      </c>
      <c r="N6" s="1">
        <v>15</v>
      </c>
      <c r="O6">
        <f>K6/N6</f>
        <v>45.666666666666664</v>
      </c>
      <c r="P6">
        <f>(H6*330*2/1000)*0.05</f>
        <v>23.265000000000001</v>
      </c>
      <c r="Q6">
        <f>P6/N6</f>
        <v>1.5509999999999999</v>
      </c>
    </row>
    <row r="7" spans="1:17" x14ac:dyDescent="0.2">
      <c r="A7" t="s">
        <v>13</v>
      </c>
      <c r="B7" t="s">
        <v>38</v>
      </c>
      <c r="C7" t="s">
        <v>15</v>
      </c>
      <c r="D7" t="s">
        <v>39</v>
      </c>
      <c r="E7" t="s">
        <v>40</v>
      </c>
      <c r="F7">
        <v>1126</v>
      </c>
      <c r="G7" t="s">
        <v>41</v>
      </c>
      <c r="H7">
        <v>1170</v>
      </c>
      <c r="I7" t="s">
        <v>19</v>
      </c>
      <c r="J7" t="s">
        <v>19</v>
      </c>
      <c r="K7">
        <v>1473</v>
      </c>
      <c r="L7" t="s">
        <v>20</v>
      </c>
      <c r="M7" t="s">
        <v>21</v>
      </c>
      <c r="N7" s="1">
        <v>25</v>
      </c>
      <c r="O7">
        <f>K7/N7</f>
        <v>58.92</v>
      </c>
      <c r="P7">
        <f>(H7*330*2/1000)*0.05</f>
        <v>38.610000000000007</v>
      </c>
      <c r="Q7">
        <f>P7/N7</f>
        <v>1.5444000000000002</v>
      </c>
    </row>
  </sheetData>
  <autoFilter ref="A1:Q7" xr:uid="{0EB91446-901C-8648-9100-E629E6CA2E0E}">
    <sortState xmlns:xlrd2="http://schemas.microsoft.com/office/spreadsheetml/2017/richdata2" ref="A2:Q7">
      <sortCondition ref="D1:D7"/>
    </sortState>
  </autoFilter>
  <pageMargins left="0.75" right="0.75" top="1" bottom="1" header="0.5" footer="0.5"/>
  <pageSetup paperSize="9" scale="66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platemap_pSHPs0921B1498027B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 Sek</cp:lastModifiedBy>
  <cp:lastPrinted>2026-10-05T00:30:13Z</cp:lastPrinted>
  <dcterms:created xsi:type="dcterms:W3CDTF">2026-10-05T00:27:16Z</dcterms:created>
  <dcterms:modified xsi:type="dcterms:W3CDTF">2026-10-05T00:30:15Z</dcterms:modified>
</cp:coreProperties>
</file>