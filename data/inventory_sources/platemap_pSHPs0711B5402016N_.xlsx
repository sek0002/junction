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ekkevin/Library/CloudStorage/Nextcloud-sek0002@nc․sek-lab․com/Work/2026/cloning/3CAPER/"/>
    </mc:Choice>
  </mc:AlternateContent>
  <xr:revisionPtr revIDLastSave="0" documentId="13_ncr:9_{AB82FB63-81C6-1A45-A2A7-E88DA1FD0422}" xr6:coauthVersionLast="47" xr6:coauthVersionMax="47" xr10:uidLastSave="{00000000-0000-0000-0000-000000000000}"/>
  <bookViews>
    <workbookView xWindow="0" yWindow="760" windowWidth="30240" windowHeight="18880" xr2:uid="{38ABC981-2FEA-2545-9DE3-8282F3AB1212}"/>
  </bookViews>
  <sheets>
    <sheet name="platemap_pSHPs0711B5402016N_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" i="1"/>
</calcChain>
</file>

<file path=xl/sharedStrings.xml><?xml version="1.0" encoding="utf-8"?>
<sst xmlns="http://purl.oclc.org/ooxml/spreadsheetml/main" count="237" uniqueCount="110">
  <si>
    <t>Product Type</t>
  </si>
  <si>
    <t>Name</t>
  </si>
  <si>
    <t>Plate ID</t>
  </si>
  <si>
    <t>Well Location</t>
  </si>
  <si>
    <t>Insert Sequence</t>
  </si>
  <si>
    <t>Insert Length</t>
  </si>
  <si>
    <t>Construct Sequence (Insert + Adapters)</t>
  </si>
  <si>
    <t>Construct Length (Insert + Adapters)</t>
  </si>
  <si>
    <t>Assembly QC</t>
  </si>
  <si>
    <t>Yield QC</t>
  </si>
  <si>
    <t>Yield (ng)</t>
  </si>
  <si>
    <t>Order #</t>
  </si>
  <si>
    <t>Custom Label</t>
  </si>
  <si>
    <t>Gene Fragments with adapters</t>
  </si>
  <si>
    <t>human_CRE_up_729</t>
  </si>
  <si>
    <t>pSHPs0711B5402016N</t>
  </si>
  <si>
    <t>A1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</si>
  <si>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TAGTCTCACCCCACAGTTTAAAACATGGAAACTGAGGTTTCAAGAGGTGATTTTCCAGTGAGGGGATTTCAGGTGATTTGAGTCCACTCTTATCCCAGCCTCTAATAGGGATTCCTCATGCCACTCTCAGGCAGGCTTGGGAATTCAAGGGAATGCTGTGGTACAAGGGAGTTATCTAAGTGTCAGGCTAGAAGGAAAACTCTGCAGCCAGATCGCTTTGTGACAGGGCCCAAGTCATACCTCACTGGGGAAAGGGAGCAAGGGCGTGTGTGGTGGGGTTTTTTGTTTTTTGGGTTTT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</si>
  <si>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TAGTCTCACCCCACAGTTTAAAACATGGAAACTGAGGTTTCAAGAGGTGATTTTCCAGTGAGGGGATTTCAGGTGATTTGAGTCCACTCTTATCCCAGCCTCTAATAGGGATTCCTCATGCCACTCTCAGGCAGGCTTGGGAATTCAAGGGAATGCTGTGGTACAAGGGAGTTATCTAAGTGTCAGGCTAGAAGGAAAACTCTGCAGCCAGATCGCTTTGTGACAGGGCCCAAGTCATACCTCACTGGGGAAAGGGAGCAAGGGCGTGTGTGGTGGGGTTTTTTGTTTTTTGGGTTTTCCTGCAGGCACTAGAGGGTATATAATGGAAGCTCGACTTCCAGCTTGGCAATCCGGTACTGTACCGGTCCGAATGAGACGTTGCCTACTCTGGCGTCGATGAGGGA</t>
  </si>
  <si>
    <t>Pass</t>
  </si>
  <si>
    <t>Q-685891</t>
  </si>
  <si>
    <t>CRE_fix</t>
  </si>
  <si>
    <t>human_CRE_dwn_287</t>
  </si>
  <si>
    <t>B1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</si>
  <si>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GAAGTAGGAAGGAGGTGGTAGAGGTAGCCAAGGCAGCAGCCAGGACTTACAGGGCTGGGAAGGGCATTTTGCCCAACAGCAGCAGCTGCCGTTACATGTTGGGCTTCCTGTCTTCTTACCCTCCCAATCAAGGAGCACAGCAAATGCTTCTTCCTGCCTGTGTGGGGCTGATGTGCCCACTTCCTGGCTTCCTCCAGCCTTGTGATCTTCAATCTTTGCTGCACATTCAAATTACTAGGGGGACATTTAAATACTATTAATGCTCACCTTATCCCCAGAGATTCTGATTTAACTGGAG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</si>
  <si>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GAAGTAGGAAGGAGGTGGTAGAGGTAGCCAAGGCAGCAGCCAGGACTTACAGGGCTGGGAAGGGCATTTTGCCCAACAGCAGCAGCTGCCGTTACATGTTGGGCTTCCTGTCTTCTTACCCTCCCAATCAAGGAGCACAGCAAATGCTTCTTCCTGCCTGTGTGGGGCTGATGTGCCCACTTCCTGGCTTCCTCCAGCCTTGTGATCTTCAATCTTTGCTGCACATTCAAATTACTAGGGGGACATTTAAATACTATTAATGCTCACCTTATCCCCAGAGATTCTGATTTAACTGGAGCCTGCAGGCACTAGAGGGTATATAATGGAAGCTCGACTTCCAGCTTGGCAATCCGGTACTGTACCGGTCCGAATGAGACGTTGCCTACTCTGGCGTCGATGAGGGA</t>
  </si>
  <si>
    <t>human_silencers_up_474</t>
  </si>
  <si>
    <t>C1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</si>
  <si>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CACACACAAAGACACACATGCACATGCATGCACACACACACTCGTGCACACACACACGCCTCCTGGCATGCCACAGGGAGATAACGCACACAGCCACCTCCCAGTGACCACAGAGCTCTATCTCAGGGTGACGTCACCTCATACACAGCTCCCAGTTCACTCTAAGTGATTCATCGAGGGCGTAAACTCTGAGGGCGATGGAGGCATCAGGGTACAGAGATGAAGTCAGTTTAGTGCCATTTCCTATCCATGGGCTCCCCAGAAGTAAGAGAGAAAGGAAGGAAGGCCTTTTAAAAGT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</si>
  <si>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CACACACAAAGACACACATGCACATGCATGCACACACACACTCGTGCACACACACACGCCTCCTGGCATGCCACAGGGAGATAACGCACACAGCCACCTCCCAGTGACCACAGAGCTCTATCTCAGGGTGACGTCACCTCATACACAGCTCCCAGTTCACTCTAAGTGATTCATCGAGGGCGTAAACTCTGAGGGCGATGGAGGCATCAGGGTACAGAGATGAAGTCAGTTTAGTGCCATTTCCTATCCATGGGCTCCCCAGAAGTAAGAGAGAAAGGAAGGAAGGCCTTTTAAAAGTCCTGCAGGCACTAGAGGGTATATAATGGAAGCTCGACTTCCAGCTTGGCAATCCGGTACTGTACCGGTCCGAATGAGACGTTGCCTACTCTGGCGTCGATGAGGGA</t>
  </si>
  <si>
    <t>mSC_418</t>
  </si>
  <si>
    <t>D1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</si>
  <si>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ATGTCTCTGGTTCCTGGAGGCTGTATCGATCGGCAGGACACAACTGTTCCTCCAGTGTCCCAGAGGTGCCTGGGACGAGACTTTCAAAGGGTTGCAGAACCTCTTCCTGCTTTGTGGTTATGTTTCTTGTCTTTTTAAGGCCTTTCTATTATCTGTAGTTAATCCAGCTTCCATGAGCCGTTTCTTATGTTGCTGATAGCAGCCTGACTCCCTTTCCTTTCTTGTTTGTTTCGGTGTGTGGTTTTATTGTTGTTGCTTGTGACAGAATCTCTCGTAGCTGGCTTGCATCTCTTACATC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</si>
  <si>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ATGTCTCTGGTTCCTGGAGGCTGTATCGATCGGCAGGACACAACTGTTCCTCCAGTGTCCCAGAGGTGCCTGGGACGAGACTTTCAAAGGGTTGCAGAACCTCTTCCTGCTTTGTGGTTATGTTTCTTGTCTTTTTAAGGCCTTTCTATTATCTGTAGTTAATCCAGCTTCCATGAGCCGTTTCTTATGTTGCTGATAGCAGCCTGACTCCCTTTCCTTTCTTGTTTGTTTCGGTGTGTGGTTTTATTGTTGTTGCTTGTGACAGAATCTCTCGTAGCTGGCTTGCATCTCTTACATCCCTGCAGGCACTAGAGGGTATATAATGGAAGCTCGACTTCCAGCTTGGCAATCCGGTACTGTACCGGTCCGAATGAGACGTTGCCTACTCTGGCGTCGATGAGGGA</t>
  </si>
  <si>
    <t>human_CRE_up_979</t>
  </si>
  <si>
    <t>E1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</si>
  <si>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AATAAAAAGCAAGCCTGTGAGACAACTCCTTCCCCAAGGGGCGCTTGTTACAGAGCGCGGGCCCCAGCAGGCCTGGTCCATCCTCCACATTCTTTCCTCTCTGACTTATTTTTACTTTCTGTTTGAATTGGCTTGGTTTTATTTTGCCCTAAACTGTGTCTGTAGTCATCCCCCGACAGAGTTTTGAGAGTGAAAGTCCGATCTGCCCACGCTTCACAGAACTCAATGCGGAGCCTTCTCAGGAGTCACTTGACGTCAAGGCTGACTTTTAAATTTGCCAAAAAGGCATTCTTTGGGG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</si>
  <si>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AATAAAAAGCAAGCCTGTGAGACAACTCCTTCCCCAAGGGGCGCTTGTTACAGAGCGCGGGCCCCAGCAGGCCTGGTCCATCCTCCACATTCTTTCCTCTCTGACTTATTTTTACTTTCTGTTTGAATTGGCTTGGTTTTATTTTGCCCTAAACTGTGTCTGTAGTCATCCCCCGACAGAGTTTTGAGAGTGAAAGTCCGATCTGCCCACGCTTCACAGAACTCAATGCGGAGCCTTCTCAGGAGTCACTTGACGTCAAGGCTGACTTTTAAATTTGCCAAAAAGGCATTCTTTGGGGCCTGCAGGCACTAGAGGGTATATAATGGAAGCTCGACTTCCAGCTTGGCAATCCGGTACTGTACCGGTCCGAATGAGACGTTGCCTACTCTGGCGTCGATGAGGGA</t>
  </si>
  <si>
    <t>mTE_471</t>
  </si>
  <si>
    <t>F1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</si>
  <si>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TTGCGTGACCCGCTGCAAACCCACTCATACCACACACGCCGGGGTTTCATACACGTCACAGTCCCAGCCAGACTACCAGTAGGTCACAGCTACTGTCTGACACTCTTCACACACACCCACTTGCCTGGGGAGTCCCAAGTGGCCCCACAGACCCAGACACAGTCACACCCAGGATCCCAGACTAGTAGCTCCCACGCACCCAGACACACCCCCAGGATTGCCGAGCCCTTATACCAGGCCTTCATTCCCAGAGCCTGCGGATATGACAACTGCTGGCTGTGCCCCATGTCCTGCCCAC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</si>
  <si>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TTGCGTGACCCGCTGCAAACCCACTCATACCACACACGCCGGGGTTTCATACACGTCACAGTCCCAGCCAGACTACCAGTAGGTCACAGCTACTGTCTGACACTCTTCACACACACCCACTTGCCTGGGGAGTCCCAAGTGGCCCCACAGACCCAGACACAGTCACACCCAGGATCCCAGACTAGTAGCTCCCACGCACCCAGACACACCCCCAGGATTGCCGAGCCCTTATACCAGGCCTTCATTCCCAGAGCCTGCGGATATGACAACTGCTGGCTGTGCCCCATGTCCTGCCCACCCTGCAGGCACTAGAGGGTATATAATGGAAGCTCGACTTCCAGCTTGGCAATCCGGTACTGTACCGGTCCGAATGAGACGTTGCCTACTCTGGCGTCGATGAGGGA</t>
  </si>
  <si>
    <t>mTC_598</t>
  </si>
  <si>
    <t>G1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</si>
  <si>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AGATGGACTGGCACTCTAAAGATGCTGAGAAGTCTTTTAGCACAAACCCCTCTTCACTATGCAGCTACCACCCTAACCCTACACAGGTCCCCATCTGTGCACCCTGTCCTCAGCACCCAGAAGGACCAGTGCTTGTCCCAGGAATGCCGACGTTCAGGCCCCCCAGGGGAGGAGTGGTTAGCAGCAAGTGGCTGCTGCCACCCTGTGGGGTCACACAGGAAGTTCCTCAGAGCCAAGCCAAGCAGCTTCAGAAAGCCTGAACTGGAAGTCACATATCATCAGCCCCCACTGCCCTGCC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</si>
  <si>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AGATGGACTGGCACTCTAAAGATGCTGAGAAGTCTTTTAGCACAAACCCCTCTTCACTATGCAGCTACCACCCTAACCCTACACAGGTCCCCATCTGTGCACCCTGTCCTCAGCACCCAGAAGGACCAGTGCTTGTCCCAGGAATGCCGACGTTCAGGCCCCCCAGGGGAGGAGTGGTTAGCAGCAAGTGGCTGCTGCCACCCTGTGGGGTCACACAGGAAGTTCCTCAGAGCCAAGCCAAGCAGCTTCAGAAAGCCTGAACTGGAAGTCACATATCATCAGCCCCCACTGCCCTGCCCCTGCAGGCACTAGAGGGTATATAATGGAAGCTCGACTTCCAGCTTGGCAATCCGGTACTGTACCGGTCCGAATGAGACGTTGCCTACTCTGGCGTCGATGAGGGA</t>
  </si>
  <si>
    <t>mTC_985</t>
  </si>
  <si>
    <t>H1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</si>
  <si>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GAATCATCATACCCCTAGCTAGATAGGGCTTCCTTTCAAGACCCCATGCCAAATTTAAGATTCATAACTTGATCACCTTTTTCTGCAAAGGGTCCCAAGAGTGCATCAGCCTCGGGGGGAAGTCGATCTCTGGTGACTCATCCCTTGACTTCACATCCTCTTACCTCAGAGTTTTTCTCTCTAAAGAGAGTCTGTTTCCCCTTGAACCTAGACAGACTCGTGACCTGTTTTGCCTTCTACAGTACAGCAGAAGTGGGGTGTGCCAACCCCTGGCCCTAGCTTAGTGCCTCCATATTTC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</si>
  <si>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GAATCATCATACCCCTAGCTAGATAGGGCTTCCTTTCAAGACCCCATGCCAAATTTAAGATTCATAACTTGATCACCTTTTTCTGCAAAGGGTCCCAAGAGTGCATCAGCCTCGGGGGGAAGTCGATCTCTGGTGACTCATCCCTTGACTTCACATCCTCTTACCTCAGAGTTTTTCTCTCTAAAGAGAGTCTGTTTCCCCTTGAACCTAGACAGACTCGTGACCTGTTTTGCCTTCTACAGTACAGCAGAAGTGGGGTGTGCCAACCCCTGGCCCTAGCTTAGTGCCTCCATATTTCCCTGCAGGCACTAGAGGGTATATAATGGAAGCTCGACTTCCAGCTTGGCAATCCGGTACTGTACCGGTCCGAATGAGACGTTGCCTACTCTGGCGTCGATGAGGGA</t>
  </si>
  <si>
    <t>mSC_037</t>
  </si>
  <si>
    <t>A2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</si>
  <si>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CCATTTTAATGCACATGCTCACAATCACAGAGCTTCAAGAGGCTTAGAGACAATACCATCTCTCGGTTCTCCTGGAGACCTGTGTCGCGGAAGTCTGCCTGACCCGGAGACACTGATGCAGTTTTTCACCCCTAAGATGCAGAAGGTACCTGGTTTTCATGGTCACTAAAACAGACACACAAGGGAATCAGCCAAGAAGTCTTAAGACATGGAAGAAGGCTGGAAATCATAAGAACAATGTGTCTGACTGCAAAGGAATGAAAAGAGAAATTGGTCACACCGAGACATGTGCAGAGTC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</si>
  <si>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CCATTTTAATGCACATGCTCACAATCACAGAGCTTCAAGAGGCTTAGAGACAATACCATCTCTCGGTTCTCCTGGAGACCTGTGTCGCGGAAGTCTGCCTGACCCGGAGACACTGATGCAGTTTTTCACCCCTAAGATGCAGAAGGTACCTGGTTTTCATGGTCACTAAAACAGACACACAAGGGAATCAGCCAAGAAGTCTTAAGACATGGAAGAAGGCTGGAAATCATAAGAACAATGTGTCTGACTGCAAAGGAATGAAAAGAGAAATTGGTCACACCGAGACATGTGCAGAGTCCCTGCAGGCACTAGAGGGTATATAATGGAAGCTCGACTTCCAGCTTGGCAATCCGGTACTGTACCGGTCCGAATGAGACGTTGCCTACTCTGGCGTCGATGAGGGA</t>
  </si>
  <si>
    <t>human_CRE_up_1887</t>
  </si>
  <si>
    <t>B2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</si>
  <si>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ATTAGTCATCTCCTTAAATTTGTGTTTCCAAGACTTATTGGTGACTTCCAGGTAGCAGGCAGGCTCATTTACATCTATTTCTTGAAAGGATCAATGAATGACTTCTGTTGATAAAGGTACTGAAAAGCTGATGAATCATGAAAAAGGGAAGTTCTTGATAACTGATCATCCAAGAAGCAAGTAAACAACCGGTTACACTATTCACTGACCAAATCTTCCGGCCACCCCAAACAGTCAAAACTTGACATTACCAAATCTTTTCTGTACTGAGCATGGGTGGCGTGCATCCCCAGCAAGG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</si>
  <si>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ATTAGTCATCTCCTTAAATTTGTGTTTCCAAGACTTATTGGTGACTTCCAGGTAGCAGGCAGGCTCATTTACATCTATTTCTTGAAAGGATCAATGAATGACTTCTGTTGATAAAGGTACTGAAAAGCTGATGAATCATGAAAAAGGGAAGTTCTTGATAACTGATCATCCAAGAAGCAAGTAAACAACCGGTTACACTATTCACTGACCAAATCTTCCGGCCACCCCAAACAGTCAAAACTTGACATTACCAAATCTTTTCTGTACTGAGCATGGGTGGCGTGCATCCCCAGCAAGGCCTGCAGGCACTAGAGGGTATATAATGGAAGCTCGACTTCCAGCTTGGCAATCCGGTACTGTACCGGTCCGAATGAGACGTTGCCTACTCTGGCGTCGATGAGGGA</t>
  </si>
  <si>
    <t>human_silencers_up_005</t>
  </si>
  <si>
    <t>C2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</si>
  <si>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TGGATCATAGGGGCCCCCAGGAGGATCCCAGAAGGACTCAAGTGCAGCCTGAGGGGCGTGTGGGGTAGAGGGCGGGGCTTGCCTTGGTGGTGGTGGTTATGGTTGATGATTGTCCTTGCGCATAATATGTGGTCGCAGGTCTTTTTTTAGTCCCCGCCGGCTTCCCCTCTCCCTGGCTGCCCCATGAGTCACTTCCCAGCTGTCCATCAGATCACAGCGTAGCCTCCTCAGCTGGAGGCCCTGGGGAAATAGCTGGCTTTATCGTATCCAGGGACAGCTCCCCCCATACCCTGCCTAG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</si>
  <si>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TGGATCATAGGGGCCCCCAGGAGGATCCCAGAAGGACTCAAGTGCAGCCTGAGGGGCGTGTGGGGTAGAGGGCGGGGCTTGCCTTGGTGGTGGTGGTTATGGTTGATGATTGTCCTTGCGCATAATATGTGGTCGCAGGTCTTTTTTTAGTCCCCGCCGGCTTCCCCTCTCCCTGGCTGCCCCATGAGTCACTTCCCAGCTGTCCATCAGATCACAGCGTAGCCTCCTCAGCTGGAGGCCCTGGGGAAATAGCTGGCTTTATCGTATCCAGGGACAGCTCCCCCCATACCCTGCCTAGCCTGCAGGCACTAGAGGGTATATAATGGAAGCTCGACTTCCAGCTTGGCAATCCGGTACTGTACCGGTCCGAATGAGACGTTGCCTACTCTGGCGTCGATGAGGGA</t>
  </si>
  <si>
    <t>human_CRE_up_1459</t>
  </si>
  <si>
    <t>D2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</si>
  <si>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GCGTTGGTAGGGCACATCCTTCTTCTGGCTCCCCTGCCCCACTTATACTTGCCTTCTTCTCTACACCAGCAGCCCCACTGAAAGCCCAGCAGGGGTGGCCCCCTGGGGAGGTGGCAGGTGGAAATGAGGTCATTGAGCTCAGACCCAACTGGGCTGACTCACAACCTCTGCCCCAGTGAGACAAGGGGACCTTCCCAAGCAGTGCTTCCCAGATGTGCCCAGGCTTCCTATGCCAGAATGTTTGAGTCTTAGCCAAAATAGTTGCCAAGCCAGTGTCTGAAGACAACATGACAGGAGA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</si>
  <si>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GCGTTGGTAGGGCACATCCTTCTTCTGGCTCCCCTGCCCCACTTATACTTGCCTTCTTCTCTACACCAGCAGCCCCACTGAAAGCCCAGCAGGGGTGGCCCCCTGGGGAGGTGGCAGGTGGAAATGAGGTCATTGAGCTCAGACCCAACTGGGCTGACTCACAACCTCTGCCCCAGTGAGACAAGGGGACCTTCCCAAGCAGTGCTTCCCAGATGTGCCCAGGCTTCCTATGCCAGAATGTTTGAGTCTTAGCCAAAATAGTTGCCAAGCCAGTGTCTGAAGACAACATGACAGGAGACCTGCAGGCACTAGAGGGTATATAATGGAAGCTCGACTTCCAGCTTGGCAATCCGGTACTGTACCGGTCCGAATGAGACGTTGCCTACTCTGGCGTCGATGAGGGA</t>
  </si>
  <si>
    <t>mTEC_406</t>
  </si>
  <si>
    <t>E2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</si>
  <si>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CTGCCTCCTAAGTGCTGGTACTAAAACCAGGCATGGCTCATTGTCATGATTTTGAATTTTGCATTTAGGGCAAGGGGCTCTCTGCTAACTAACCACTGCCGTGTCCTGGGAAATCCCCAACCTTGGAGCAGGCTGTGACTGGCCTTTGGCTTCCTTAGAGAACTGAGATCCCCAGACAATGGTCTCTAGGGCAGGACCTGGACACCGCCCTCAGTCTCAGACTCCTCAGGTTTGTGAGTCACAGGTTCCAAGGGAGGCTTGCGGGCTGGGCATGGCTCCAAAAGCTGTGAATCCTTGG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</si>
  <si>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CTGCCTCCTAAGTGCTGGTACTAAAACCAGGCATGGCTCATTGTCATGATTTTGAATTTTGCATTTAGGGCAAGGGGCTCTCTGCTAACTAACCACTGCCGTGTCCTGGGAAATCCCCAACCTTGGAGCAGGCTGTGACTGGCCTTTGGCTTCCTTAGAGAACTGAGATCCCCAGACAATGGTCTCTAGGGCAGGACCTGGACACCGCCCTCAGTCTCAGACTCCTCAGGTTTGTGAGTCACAGGTTCCAAGGGAGGCTTGCGGGCTGGGCATGGCTCCAAAAGCTGTGAATCCTTGGCCTGCAGGCACTAGAGGGTATATAATGGAAGCTCGACTTCCAGCTTGGCAATCCGGTACTGTACCGGTCCGAATGAGACGTTGCCTACTCTGGCGTCGATGAGGGA</t>
  </si>
  <si>
    <t>tmem_161</t>
  </si>
  <si>
    <t>F2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</si>
  <si>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ACCAGTTCCCACTGGGAAAGCCTGGCGCAGAGCCCTTCCCCCGCCCCCTCCCGTTGCCATGGAGATCCGGGCACCCTGAGGGACCCGATTTCCGCATCCAGGGTTCAGTGTGGACCCAGCTCCTTGCTCCTTGCTGCCTTACCCACTAGGGCTGCCTCACGAGCTCCGGGACGGTCACGAGAAGTGTCCCCTTAGGGACCCAGAGCTCCGCTTTCTTTCAGGGACCCGGAGAGAGCCGAGAGCTCGGCCTGAGCAGTGTCCCCGGAGCGCGAGGGCGAGCCCCGAGGAGGCAGCGTCTG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</si>
  <si>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ACCAGTTCCCACTGGGAAAGCCTGGCGCAGAGCCCTTCCCCCGCCCCCTCCCGTTGCCATGGAGATCCGGGCACCCTGAGGGACCCGATTTCCGCATCCAGGGTTCAGTGTGGACCCAGCTCCTTGCTCCTTGCTGCCTTACCCACTAGGGCTGCCTCACGAGCTCCGGGACGGTCACGAGAAGTGTCCCCTTAGGGACCCAGAGCTCCGCTTTCTTTCAGGGACCCGGAGAGAGCCGAGAGCTCGGCCTGAGCAGTGTCCCCGGAGCGCGAGGGCGAGCCCCGAGGAGGCAGCGTCTGCTGCAGGCACTAGAGGGTATATAATGGAAGCTCGACTTCCAGCTTGGCAATCCGGTACTGTACCGGTCCGAATGAGACGTTGCCTACTCTGGCGTCGATGAGGGA</t>
  </si>
  <si>
    <t>tpex_407</t>
  </si>
  <si>
    <t>G2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</si>
  <si>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CACACATTGAATTCATACCAAAAAAAGCAAAGCAAGACAAGACAACAGAACACAATGTAATGATTATTTGGAGGTTAATGACAGGGGACGCTTTACCATTTAGGGCAGTCGAACAGAAGAATGAGAAATTTCATCTATAGCATAAGTCTGGTTTCACCGGTGTTGAAGTGCAAATAGCACTTGCAGAGCAGTTACTCAAACAATCTTCTAAGCCCCTGATGCCTTGCAAGAGCAATTACTTTCGTGGCCACTACGTGGCACTGTTGCCTCTAAGTTCTCTATAAACCTAAAGGCTGTA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</si>
  <si>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CACACATTGAATTCATACCAAAAAAAGCAAAGCAAGACAAGACAACAGAACACAATGTAATGATTATTTGGAGGTTAATGACAGGGGACGCTTTACCATTTAGGGCAGTCGAACAGAAGAATGAGAAATTTCATCTATAGCATAAGTCTGGTTTCACCGGTGTTGAAGTGCAAATAGCACTTGCAGAGCAGTTACTCAAACAATCTTCTAAGCCCCTGATGCCTTGCAAGAGCAATTACTTTCGTGGCCACTACGTGGCACTGTTGCCTCTAAGTTCTCTATAAACCTAAAGGCTGTACCTGCAGGCACTAGAGGGTATATAATGGAAGCTCGACTTCCAGCTTGGCAATCCGGTACTGTACCGGTCCGAATGAGACGTTGCCTACTCTGGCGTCGATGAGGGA</t>
  </si>
  <si>
    <t>human_silencers_up_765</t>
  </si>
  <si>
    <t>H2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</si>
  <si>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AACATTCCACTAAAGAAATTCATCAGCTACCAGCCCTTTTGTACCTCACAATATTTAAAATTCCTAACTCTTTGAAATGACATAAAGATATCTCTTGACAGCTGTTGCCTTTGACTCACTCACATAATGTTGCAGACTCTTACTTATCAATCAGTTTAGATGACAAATGGGAAAGCCCCTCTGTTCTTCTTCTCTAAGTCTACGCGGATAAATGTGGTAAACTAGCACAAATTTCAGGGCTTAGACGCAGCCTGAATATCCATAATTACTGGGCAATATTTCAACATCTTGATATTTA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</si>
  <si>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AACATTCCACTAAAGAAATTCATCAGCTACCAGCCCTTTTGTACCTCACAATATTTAAAATTCCTAACTCTTTGAAATGACATAAAGATATCTCTTGACAGCTGTTGCCTTTGACTCACTCACATAATGTTGCAGACTCTTACTTATCAATCAGTTTAGATGACAAATGGGAAAGCCCCTCTGTTCTTCTTCTCTAAGTCTACGCGGATAAATGTGGTAAACTAGCACAAATTTCAGGGCTTAGACGCAGCCTGAATATCCATAATTACTGGGCAATATTTCAACATCTTGATATTTACCTGCAGGCACTAGAGGGTATATAATGGAAGCTCGACTTCCAGCTTGGCAATCCGGTACTGTACCGGTCCGAATGAGACGTTGCCTACTCTGGCGTCGATGAGGGA</t>
  </si>
  <si>
    <t>human_silencers_up_205</t>
  </si>
  <si>
    <t>A3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</si>
  <si>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TGTGGAGGCTCTGGAAGTGAGTAAGACATGGTTTCTGCTCCCTGTGGAGTTTATAATTGAGTGAGGGAGATACTTATCCATAAATAATACAAGAGCACAAAATGGGTACCGTGTGAGTAAGCAGTGGTGAGTCACAAGGGAAGTGGTGAGCAGGGACTCCGAATGGGCCACGGCAGCATTCAGTACCCAGGGTGGAACATTGCACTATAGGGTGAGTCACTCGTAAATCCTATCCTCAAGACTCGGCTGATGTTGAGAGTCTGGAGCGGGTACTTGGGAATGGACAGCATTCCCACCT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</si>
  <si>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TGTGGAGGCTCTGGAAGTGAGTAAGACATGGTTTCTGCTCCCTGTGGAGTTTATAATTGAGTGAGGGAGATACTTATCCATAAATAATACAAGAGCACAAAATGGGTACCGTGTGAGTAAGCAGTGGTGAGTCACAAGGGAAGTGGTGAGCAGGGACTCCGAATGGGCCACGGCAGCATTCAGTACCCAGGGTGGAACATTGCACTATAGGGTGAGTCACTCGTAAATCCTATCCTCAAGACTCGGCTGATGTTGAGAGTCTGGAGCGGGTACTTGGGAATGGACAGCATTCCCACCTCCTGCAGGCACTAGAGGGTATATAATGGAAGCTCGACTTCCAGCTTGGCAATCCGGTACTGTACCGGTCCGAATGAGACGTTGCCTACTCTGGCGTCGATGAGGGA</t>
  </si>
  <si>
    <t>human_CRE_up_1497</t>
  </si>
  <si>
    <t>B3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</si>
  <si>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CAGGCCATTATTTCCTAATTTTAAATGATGACATGACAAGCCTTCACCCTATCTGTTTCTTATTTCCTTGAACTCTCCCACCCTCACCAGCAGCCAACACAAATCACAACGCAATGCAAAGGCCAGGCCACAGAACACGCTGTGAATCGACAGTTTCAGAAGACGTCATTCACACAATGTGCAAGGCACTTCCTGCACAGCCATCTCTGTGCCCCTGCAAAGGGCATGTGGCATGAGGCAGTAAAATAAGTATAGTCTGTGTTTGGGTATGAAAGGTGGTGGGTGGGGCGTGAATACA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</si>
  <si>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CAGGCCATTATTTCCTAATTTTAAATGATGACATGACAAGCCTTCACCCTATCTGTTTCTTATTTCCTTGAACTCTCCCACCCTCACCAGCAGCCAACACAAATCACAACGCAATGCAAAGGCCAGGCCACAGAACACGCTGTGAATCGACAGTTTCAGAAGACGTCATTCACACAATGTGCAAGGCACTTCCTGCACAGCCATCTCTGTGCCCCTGCAAAGGGCATGTGGCATGAGGCAGTAAAATAAGTATAGTCTGTGTTTGGGTATGAAAGGTGGTGGGTGGGGCGTGAATACACCTGCAGGCACTAGAGGGTATATAATGGAAGCTCGACTTCCAGCTTGGCAATCCGGTACTGTACCGGTCCGAATGAGACGTTGCCTACTCTGGCGTCGATGAGGGA</t>
  </si>
  <si>
    <t>ITR-TRAC-GFP-ssDNA(flanks)</t>
  </si>
  <si>
    <t>C3</t>
  </si>
  <si>
    <t>GACAAGCATCCAATAATGACCCCTTGGGGAGGGTATAGTAGAGCTTCACGTACTGGTTCGTAAGAAAGACTCTTTGAAGTTGGAACATGTCACAACCCGACGCGCTGCCCGAGGTATCAGGGGTGAAGCACCAGTTTGAGGGCGTTCCGTTATGCGCCGCATTTACCACTGGTTATAGTTCCATTAGCTGCACCGGGCATCGTCTCACACCCCTGCAGGCAGCTGCGCGCTCGCTCGCTCACTGAGGCCGCCCGGGCGTCGGGCGACCTTTGGTCGCCCGGCCTCAGTGAGCGAGCGAGCGCGCAGAGAGGGAGTGGCCAACTCCATCACTAGGGGTTCCTGCGGCCGCAGACCACTCCAGATTCCAAGATGTACAGTTTGCTTTGCTGGGCCTTTTTCCCATGCCTGCCTTTACTCTGCCAGAGTTATATTGCTGGGGTTTTGAAGAAGATCCTATTAAATAAAAGAATAAGCAGTATTATTAAGTAGCCCTGCATTTCAGGTTTCCTTGAGTGGCAGGCCAGGCCTGGCCGTGAACGTTCACTGAAATCATGGCCTCTTGGCCAAGATTGATAGCTTGTGCCTGTCCCTGAGTCCCAGTCCATCACGAGCAGCTGGTTTCTAAGATGCTATTTCCCGTATAAAGCATGAGACCGTGACTTGCCAGCCCCACAGAGCCCCGCCCTTGTCCATCACTGGCATCTGGACTCCAGCCTGGGTTGGGGCAAAGAGGGAAATGAGATCATGTCCTAACCCTGATCCTCTTGTCCCACAGATATCCAGAACCCTGACCCTGCCGTGTACCAGCTGAGAGACTCTAAATCCAGTGACAAGTCTGTCTGCCTATTCGGATCCGGAGCTACTAACTTCAGCCTGCTGAAGCAGGCTGGCGACGTGGAGGAGAACCCTGGACCTATGGATTCCACAGAGGCAGTTATTAAAGAGTTCATGCGATTCAAGGTCCATATGGAGGGCAGTATGAACGGGCACGAATTTGAAATCGAGGGAGAGGGGGAAGGTCGCCCATACGAGGGAACGCAAACAGCCAAATTGCGCGTTACAAAGGGCGGGCCTCTGCCATTTTCTTGGGATATCCTCAGTCCTCAATTTATGTACGGCTCTCGCGCGTTCACGAAACACCCCGCTGACATACCAGACTACTGGAAACAGTCATTTCCTGAGGGTTTCAAATGGGAGCGAGTAATGAATTTTGAAGACGGGGGCGCAGTTAGTGTAGCTCAAGACACTTCCCTTGAGGACGGCACACTTATTTACAAAGTAAAACTTCGGGGCACGAATTTCCCTCCTGATGGGCCGGTCATGCAGAAAAAGACAATGGGGTGGGAGGCCAGTACCGAGCGATTGTATCCTGAGGACGTGGTCCTGAAGGGCGACATAAAGATGGCACTCCGACTTAAAGATGGGGGTCGCTATCTTGCTGACTTCAAAACTACTTATCGGGCGAAGAAACCTGTGCAGATGCCCGGAGCGTTTAATATTGATAGGAAGTTGGACATCACCTCACACAATGAAGATTACACCGTAGTAGAGCAATATGAAAGGTCTGTAGCAAGACATTCAACCGGGGGAAGTGGCGGCTCTTGATCTAGAGGGCCCTATTCTATAGTGTCACCTAAATGCTAGAGCTCGCTGATCAGCCTCGACTGTGCCTTCTAGTTGCCAGCCATCTGTTGTTTGCCCCTCCCCCGTGCCTTCCTTGACCCTGGAAGGTGCCACTCCCACTGTCCTTTCCTAATAAAATGAGGAAATTGCATCGCATTGTCTGAGTAGGTGTCATTCTATTCTGGGGGGTGGGGTGGGGCAGGACAGCAAGGGGGAGGATTGGGAAGACAATAGCAGGCATGCTGGGGATGCGGTGGGCTCTATGGACCGATTTTGATTCTCAAACAAATGTGTCACAAAGTAAGGATTCTGATGTGTATATCACAGACAAAACTGTGCTAGACATGAGGTCTATGGACTTCAAGAGCAACAGTGCTGTGGCCTGGAGCAACAAATCTGACTTTGCATGTGCAAACGCCTTCAACAACAGCATTATTCCAGAAGACACCTTCTTCCCCAGCCCAGGTAAGGGCAGCTTTGGTGCCTTCGCAGGCTGTTTCCTTGCTTCAGGAATGGCCAGGTTCTGCCCAGAGCTCTGGTCAATGATGTCTAAAACTCCTCTGATTGGTGGTCTCGGCCTTATCCATTGCCACCAAAACCCTCTTTTTACTAAGAAACAGTGAGCCTTGTTCTGGCAGTCCAGAGAATGACACGGGAAAAAAGCAGATGAAGAGAAGGTGGCAGGAGAGGGCACGTGGCCCAGCCTCAGTCTCTCCAACTGAGTTCCTGCCTGCCTGCCTTTGCTCAGACTGTTTGCCCCTTACTGGCGGCCGCAGGAACCCCTAGTGATGGAGTTGGCCACTCCCTCTCTGCGCGCTCGCTCGCTCACTGAGGCCGGGCGACCAAAGGTCGCCCGACGCCCGGGCTTTGCCCGGGCGGCCTCAGTGAGCGAGCGAGCGCGCAGCTGCCTGCAGGCTCGGGAGACGGACAAGCATCCAATAATGACCCCTTGGGGAGGGTATAGTAGAGCTTCACGTACTGGTTCGTAAGAAAGACTCTTTGAAGTTGGAACATGTCACAACCCGACGCGCTGCCCGAGGTATCAGGGGTGAAGCACCAGTTTGAGGGCGTTCCGTTATGCGCCGCATTTACCACTGGTTATAGTTCCATTAGCTGCACCGGGCAT</t>
  </si>
  <si>
    <t>CAATCCGCCCTCACTACAACCGGACAAGCATCCAATAATGACCCCTTGGGGAGGGTATAGTAGAGCTTCACGTACTGGTTCGTAAGAAAGACTCTTTGAAGTTGGAACATGTCACAACCCGACGCGCTGCCCGAGGTATCAGGGGTGAAGCACCAGTTTGAGGGCGTTCCGTTATGCGCCGCATTTACCACTGGTTATAGTTCCATTAGCTGCACCGGGCATCGTCTCACACCCCTGCAGGCAGCTGCGCGCTCGCTCGCTCACTGAGGCCGCCCGGGCGTCGGGCGACCTTTGGTCGCCCGGCCTCAGTGAGCGAGCGAGCGCGCAGAGAGGGAGTGGCCAACTCCATCACTAGGGGTTCCTGCGGCCGCAGACCACTCCAGATTCCAAGATGTACAGTTTGCTTTGCTGGGCCTTTTTCCCATGCCTGCCTTTACTCTGCCAGAGTTATATTGCTGGGGTTTTGAAGAAGATCCTATTAAATAAAAGAATAAGCAGTATTATTAAGTAGCCCTGCATTTCAGGTTTCCTTGAGTGGCAGGCCAGGCCTGGCCGTGAACGTTCACTGAAATCATGGCCTCTTGGCCAAGATTGATAGCTTGTGCCTGTCCCTGAGTCCCAGTCCATCACGAGCAGCTGGTTTCTAAGATGCTATTTCCCGTATAAAGCATGAGACCGTGACTTGCCAGCCCCACAGAGCCCCGCCCTTGTCCATCACTGGCATCTGGACTCCAGCCTGGGTTGGGGCAAAGAGGGAAATGAGATCATGTCCTAACCCTGATCCTCTTGTCCCACAGATATCCAGAACCCTGACCCTGCCGTGTACCAGCTGAGAGACTCTAAATCCAGTGACAAGTCTGTCTGCCTATTCGGATCCGGAGCTACTAACTTCAGCCTGCTGAAGCAGGCTGGCGACGTGGAGGAGAACCCTGGACCTATGGATTCCACAGAGGCAGTTATTAAAGAGTTCATGCGATTCAAGGTCCATATGGAGGGCAGTATGAACGGGCACGAATTTGAAATCGAGGGAGAGGGGGAAGGTCGCCCATACGAGGGAACGCAAACAGCCAAATTGCGCGTTACAAAGGGCGGGCCTCTGCCATTTTCTTGGGATATCCTCAGTCCTCAATTTATGTACGGCTCTCGCGCGTTCACGAAACACCCCGCTGACATACCAGACTACTGGAAACAGTCATTTCCTGAGGGTTTCAAATGGGAGCGAGTAATGAATTTTGAAGACGGGGGCGCAGTTAGTGTAGCTCAAGACACTTCCCTTGAGGACGGCACACTTATTTACAAAGTAAAACTTCGGGGCACGAATTTCCCTCCTGATGGGCCGGTCATGCAGAAAAAGACAATGGGGTGGGAGGCCAGTACCGAGCGATTGTATCCTGAGGACGTGGTCCTGAAGGGCGACATAAAGATGGCACTCCGACTTAAAGATGGGGGTCGCTATCTTGCTGACTTCAAAACTACTTATCGGGCGAAGAAACCTGTGCAGATGCCCGGAGCGTTTAATATTGATAGGAAGTTGGACATCACCTCACACAATGAAGATTACACCGTAGTAGAGCAATATGAAAGGTCTGTAGCAAGACATTCAACCGGGGGAAGTGGCGGCTCTTGATCTAGAGGGCCCTATTCTATAGTGTCACCTAAATGCTAGAGCTCGCTGATCAGCCTCGACTGTGCCTTCTAGTTGCCAGCCATCTGTTGTTTGCCCCTCCCCCGTGCCTTCCTTGACCCTGGAAGGTGCCACTCCCACTGTCCTTTCCTAATAAAATGAGGAAATTGCATCGCATTGTCTGAGTAGGTGTCATTCTATTCTGGGGGGTGGGGTGGGGCAGGACAGCAAGGGGGAGGATTGGGAAGACAATAGCAGGCATGCTGGGGATGCGGTGGGCTCTATGGACCGATTTTGATTCTCAAACAAATGTGTCACAAAGTAAGGATTCTGATGTGTATATCACAGACAAAACTGTGCTAGACATGAGGTCTATGGACTTCAAGAGCAACAGTGCTGTGGCCTGGAGCAACAAATCTGACTTTGCATGTGCAAACGCCTTCAACAACAGCATTATTCCAGAAGACACCTTCTTCCCCAGCCCAGGTAAGGGCAGCTTTGGTGCCTTCGCAGGCTGTTTCCTTGCTTCAGGAATGGCCAGGTTCTGCCCAGAGCTCTGGTCAATGATGTCTAAAACTCCTCTGATTGGTGGTCTCGGCCTTATCCATTGCCACCAAAACCCTCTTTTTACTAAGAAACAGTGAGCCTTGTTCTGGCAGTCCAGAGAATGACACGGGAAAAAAGCAGATGAAGAGAAGGTGGCAGGAGAGGGCACGTGGCCCAGCCTCAGTCTCTCCAACTGAGTTCCTGCCTGCCTGCCTTTGCTCAGACTGTTTGCCCCTTACTGGCGGCCGCAGGAACCCCTAGTGATGGAGTTGGCCACTCCCTCTCTGCGCGCTCGCTCGCTCACTGAGGCCGGGCGACCAAAGGTCGCCCGACGCCCGGGCTTTGCCCGGGCGGCCTCAGTGAGCGAGCGAGCGCGCAGCTGCCTGCAGGCTCGGGAGACGGACAAGCATCCAATAATGACCCCTTGGGGAGGGTATAGTAGAGCTTCACGTACTGGTTCGTAAGAAAGACTCTTTGAAGTTGGAACATGTCACAACCCGACGCGCTGCCCGAGGTATCAGGGGTGAAGCACCAGTTTGAGGGCGTTCCGTTATGCGCCGCATTTACCACTGGTTATAGTTCCATTAGCTGCACCGGGCATCTACTCTGGCGTCGATGAGGGA</t>
  </si>
  <si>
    <t>CMV_CRE</t>
  </si>
  <si>
    <t>D3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</si>
  <si>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</si>
  <si>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CCTGCAGGCACTAGAGGGTATATAATGGAAGCTCGACTTCCAGCTTGGCAATCCGGTACTGTACCGGTCCGAATGAGACGTTGCCTACTCTGGCGTCGATGAGGGA</t>
  </si>
  <si>
    <t>ACT2_CRE</t>
  </si>
  <si>
    <t>E3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</si>
  <si>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GAAATTTTATTTAAAAACACAATTTACATAGCCACACTTTGGGCTTTCCTTCCAGCCCTTCTGTGGTTCTCAATGGCCCATGGGTGTTCAGGCCTTAACGCTGGGGAGTGCCGCCAGCAGTGGAGGTGTTCGCGAAGGTTCTACTGGCTTGAGGGAAGGGCTGTGGTAATGGGAACCCGAGACCTGGAGGCCAGCAGATAAGAGCTCTCCGCTGGGGAGCAGAGTCAGAAGGGGCTGAGCACAGAAGGCTTGACTCTCAGCCAGAGCTCAACAAGGGGCAGCTGCTGCGGTAGTCCGTGG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</si>
  <si>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GAAATTTTATTTAAAAACACAATTTACATAGCCACACTTTGGGCTTTCCTTCCAGCCCTTCTGTGGTTCTCAATGGCCCATGGGTGTTCAGGCCTTAACGCTGGGGAGTGCCGCCAGCAGTGGAGGTGTTCGCGAAGGTTCTACTGGCTTGAGGGAAGGGCTGTGGTAATGGGAACCCGAGACCTGGAGGCCAGCAGATAAGAGCTCTCCGCTGGGGAGCAGAGTCAGAAGGGGCTGAGCACAGAAGGCTTGACTCTCAGCCAGAGCTCAACAAGGGGCAGCTGCTGCGGTAGTCCGTGGCCTGCAGGCACTAGAGGGTATATAATGGAAGCTCGACTTCCAGCTTGGCAATCCGGTACTGTACCGGTCCGAATGAGACGTTGCCTACTCTGGCGTCGATGAGGGA</t>
  </si>
  <si>
    <t>UA1_CRE</t>
  </si>
  <si>
    <t>F3</t>
  </si>
  <si>
    <t>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TGATTTAAAGAAACCATTTTTTTTTCCAGGAAATGTTTCTCTTAAAAAATATCTTTCAGTTGTCACAGCTCCCTTCCAGTCATGTGGTTTTTGTGTATACTTGTATTTGCACTAACCCATTTCCTGTGCATGGACTCTGCTTGCCTTTGCTCTTGCTGTGGTAAAAAGAAGTGAAATAGAAATATCACAGCATTGCCCAGAGCTCAGTTTTTGAAAGGGTGTAAGGCAGAGGAAGGAAAGCAATGCAAACTGTGCAGCATTTCTGAAGCCCAAAGCAAAAATGGCAGATTGACTGGTCTTCCTGCAGGCACTAGAGGGTATATAATGGAAGCTCGACTTCCAGCTTGGCAATCCGGTACTGTACCGGTCCGAATGAGACGTTGC</t>
  </si>
  <si>
    <t>CAATCCGCCCTCACTACAACCGCGAACGTCTCTCTGTCATTCTAAATCTCTCTTTCAGCCTAAAGCTTTTTCCCCGTATCCCCCCAGGTGTCTGCAGGCTCAAAGAGCAGCGAGAAGCGTTCAGAGGAAAGCGATCCCGTGCCACCTTCCCCGTGCCCGGGCTGTCCCCGCACGCTGCCGGCTCGGGGATGCGGGGGGAGCGCCGGACCGGAGCGGAGCCCCGGGCGGCTCGCTGCTGCCCCCTAGCGGGGGAGGGACGTAATTACATCCCTGGGGGCTTTGGGGGGGGGCTGTCCCCGTGAGCTCCGGATCCTGACCATGTACGATTGACTATGATTTAAAGAAACCATTTTTTTTTCCAGGAAATGTTTCTCTTAAAAAATATCTTTCAGTTGTCACAGCTCCCTTCCAGTCATGTGGTTTTTGTGTATACTTGTATTTGCACTAACCCATTTCCTGTGCATGGACTCTGCTTGCCTTTGCTCTTGCTGTGGTAAAAAGAAGTGAAATAGAAATATCACAGCATTGCCCAGAGCTCAGTTTTTGAAAGGGTGTAAGGCAGAGGAAGGAAAGCAATGCAAACTGTGCAGCATTTCTGAAGCCCAAAGCAAAAATGGCAGATTGACTGGTCTTCCTGCAGGCACTAGAGGGTATATAATGGAAGCTCGACTTCCAGCTTGGCAATCCGGTACTGTACCGGTCCGAATGAGACGTTGCCTACTCTGGCGTCGATGAGGGA</t>
  </si>
  <si>
    <t>Conc (ng/uL)</t>
  </si>
  <si>
    <t>H2O</t>
  </si>
  <si>
    <t>Mass (0.05pmol)</t>
  </si>
  <si>
    <t>Volume (1:1)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</si>
</sst>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8A1B-FD57-2B48-9637-155B37832F54}">
  <sheetPr>
    <pageSetUpPr fitToPage="1"/>
  </sheetPr>
  <dimension ref="A1:Q23"/>
  <sheetViews>
    <sheetView tabSelected="1" workbookViewId="0">
      <selection activeCell="N29" sqref="N29"/>
    </sheetView>
  </sheetViews>
  <sheetFormatPr baseColWidth="10" defaultRowHeight="16" x14ac:dyDescent="0.2"/>
  <cols>
    <col min="2" max="2" width="26.1640625" customWidth="1"/>
    <col min="16" max="16" width="14.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106</v>
      </c>
      <c r="O1" s="1" t="s">
        <v>107</v>
      </c>
      <c r="P1" s="1" t="s">
        <v>108</v>
      </c>
      <c r="Q1" s="1" t="s">
        <v>109</v>
      </c>
    </row>
    <row r="2" spans="1:17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693</v>
      </c>
      <c r="G2" s="1" t="s">
        <v>18</v>
      </c>
      <c r="H2" s="1">
        <v>737</v>
      </c>
      <c r="I2" s="1" t="s">
        <v>19</v>
      </c>
      <c r="J2" s="1" t="s">
        <v>19</v>
      </c>
      <c r="K2" s="1">
        <v>1471</v>
      </c>
      <c r="L2" s="1" t="s">
        <v>20</v>
      </c>
      <c r="M2" s="1" t="s">
        <v>21</v>
      </c>
      <c r="N2" s="1">
        <v>25</v>
      </c>
      <c r="O2" s="1">
        <f>K2/N2</f>
        <v>58.84</v>
      </c>
      <c r="P2" s="1">
        <f>(H2*330*2/1000)*0.05</f>
        <v>24.321000000000002</v>
      </c>
      <c r="Q2" s="1">
        <f>P2/N2</f>
        <v>0.97284000000000004</v>
      </c>
    </row>
    <row r="3" spans="1:17" x14ac:dyDescent="0.2">
      <c r="A3" s="1" t="s">
        <v>13</v>
      </c>
      <c r="B3" s="1" t="s">
        <v>22</v>
      </c>
      <c r="C3" s="1" t="s">
        <v>15</v>
      </c>
      <c r="D3" s="1" t="s">
        <v>23</v>
      </c>
      <c r="E3" s="1" t="s">
        <v>24</v>
      </c>
      <c r="F3" s="1">
        <v>693</v>
      </c>
      <c r="G3" s="1" t="s">
        <v>25</v>
      </c>
      <c r="H3" s="1">
        <v>737</v>
      </c>
      <c r="I3" s="1" t="s">
        <v>19</v>
      </c>
      <c r="J3" s="1" t="s">
        <v>19</v>
      </c>
      <c r="K3" s="1">
        <v>1544</v>
      </c>
      <c r="L3" s="1" t="s">
        <v>20</v>
      </c>
      <c r="M3" s="1" t="s">
        <v>21</v>
      </c>
      <c r="N3" s="1">
        <v>25</v>
      </c>
      <c r="O3" s="1">
        <f t="shared" ref="O3:O23" si="0">K3/N3</f>
        <v>61.76</v>
      </c>
      <c r="P3" s="1">
        <f t="shared" ref="P3:P23" si="1">(H3*330*2/1000)*0.05</f>
        <v>24.321000000000002</v>
      </c>
      <c r="Q3" s="1">
        <f t="shared" ref="Q3:Q23" si="2">P3/N3</f>
        <v>0.97284000000000004</v>
      </c>
    </row>
    <row r="4" spans="1:17" x14ac:dyDescent="0.2">
      <c r="A4" s="1" t="s">
        <v>13</v>
      </c>
      <c r="B4" s="1" t="s">
        <v>26</v>
      </c>
      <c r="C4" s="1" t="s">
        <v>15</v>
      </c>
      <c r="D4" s="1" t="s">
        <v>27</v>
      </c>
      <c r="E4" s="1" t="s">
        <v>28</v>
      </c>
      <c r="F4" s="1">
        <v>693</v>
      </c>
      <c r="G4" s="1" t="s">
        <v>29</v>
      </c>
      <c r="H4" s="1">
        <v>737</v>
      </c>
      <c r="I4" s="1" t="s">
        <v>19</v>
      </c>
      <c r="J4" s="1" t="s">
        <v>19</v>
      </c>
      <c r="K4" s="1">
        <v>1690</v>
      </c>
      <c r="L4" s="1" t="s">
        <v>20</v>
      </c>
      <c r="M4" s="1" t="s">
        <v>21</v>
      </c>
      <c r="N4" s="1">
        <v>25</v>
      </c>
      <c r="O4" s="1">
        <f t="shared" si="0"/>
        <v>67.599999999999994</v>
      </c>
      <c r="P4" s="1">
        <f t="shared" si="1"/>
        <v>24.321000000000002</v>
      </c>
      <c r="Q4" s="1">
        <f t="shared" si="2"/>
        <v>0.97284000000000004</v>
      </c>
    </row>
    <row r="5" spans="1:17" x14ac:dyDescent="0.2">
      <c r="A5" s="1" t="s">
        <v>13</v>
      </c>
      <c r="B5" s="1" t="s">
        <v>30</v>
      </c>
      <c r="C5" s="1" t="s">
        <v>15</v>
      </c>
      <c r="D5" s="1" t="s">
        <v>31</v>
      </c>
      <c r="E5" s="1" t="s">
        <v>32</v>
      </c>
      <c r="F5" s="1">
        <v>693</v>
      </c>
      <c r="G5" s="1" t="s">
        <v>33</v>
      </c>
      <c r="H5" s="1">
        <v>737</v>
      </c>
      <c r="I5" s="1" t="s">
        <v>19</v>
      </c>
      <c r="J5" s="1" t="s">
        <v>19</v>
      </c>
      <c r="K5" s="1">
        <v>1848</v>
      </c>
      <c r="L5" s="1" t="s">
        <v>20</v>
      </c>
      <c r="M5" s="1" t="s">
        <v>21</v>
      </c>
      <c r="N5" s="1">
        <v>25</v>
      </c>
      <c r="O5" s="1">
        <f t="shared" si="0"/>
        <v>73.92</v>
      </c>
      <c r="P5" s="1">
        <f t="shared" si="1"/>
        <v>24.321000000000002</v>
      </c>
      <c r="Q5" s="1">
        <f t="shared" si="2"/>
        <v>0.97284000000000004</v>
      </c>
    </row>
    <row r="6" spans="1:17" x14ac:dyDescent="0.2">
      <c r="A6" s="1" t="s">
        <v>13</v>
      </c>
      <c r="B6" s="1" t="s">
        <v>34</v>
      </c>
      <c r="C6" s="1" t="s">
        <v>15</v>
      </c>
      <c r="D6" s="1" t="s">
        <v>35</v>
      </c>
      <c r="E6" s="1" t="s">
        <v>36</v>
      </c>
      <c r="F6" s="1">
        <v>693</v>
      </c>
      <c r="G6" s="1" t="s">
        <v>37</v>
      </c>
      <c r="H6" s="1">
        <v>737</v>
      </c>
      <c r="I6" s="1" t="s">
        <v>19</v>
      </c>
      <c r="J6" s="1" t="s">
        <v>19</v>
      </c>
      <c r="K6" s="1">
        <v>1944</v>
      </c>
      <c r="L6" s="1" t="s">
        <v>20</v>
      </c>
      <c r="M6" s="1" t="s">
        <v>21</v>
      </c>
      <c r="N6" s="1">
        <v>25</v>
      </c>
      <c r="O6" s="1">
        <f t="shared" si="0"/>
        <v>77.760000000000005</v>
      </c>
      <c r="P6" s="1">
        <f t="shared" si="1"/>
        <v>24.321000000000002</v>
      </c>
      <c r="Q6" s="1">
        <f t="shared" si="2"/>
        <v>0.97284000000000004</v>
      </c>
    </row>
    <row r="7" spans="1:17" x14ac:dyDescent="0.2">
      <c r="A7" s="1" t="s">
        <v>13</v>
      </c>
      <c r="B7" s="1" t="s">
        <v>38</v>
      </c>
      <c r="C7" s="1" t="s">
        <v>15</v>
      </c>
      <c r="D7" s="1" t="s">
        <v>39</v>
      </c>
      <c r="E7" s="1" t="s">
        <v>40</v>
      </c>
      <c r="F7" s="1">
        <v>693</v>
      </c>
      <c r="G7" s="1" t="s">
        <v>41</v>
      </c>
      <c r="H7" s="1">
        <v>737</v>
      </c>
      <c r="I7" s="1" t="s">
        <v>19</v>
      </c>
      <c r="J7" s="1" t="s">
        <v>19</v>
      </c>
      <c r="K7" s="1">
        <v>1587</v>
      </c>
      <c r="L7" s="1" t="s">
        <v>20</v>
      </c>
      <c r="M7" s="1" t="s">
        <v>21</v>
      </c>
      <c r="N7" s="1">
        <v>25</v>
      </c>
      <c r="O7" s="1">
        <f t="shared" si="0"/>
        <v>63.48</v>
      </c>
      <c r="P7" s="1">
        <f t="shared" si="1"/>
        <v>24.321000000000002</v>
      </c>
      <c r="Q7" s="1">
        <f t="shared" si="2"/>
        <v>0.97284000000000004</v>
      </c>
    </row>
    <row r="8" spans="1:17" x14ac:dyDescent="0.2">
      <c r="A8" s="1" t="s">
        <v>13</v>
      </c>
      <c r="B8" s="1" t="s">
        <v>42</v>
      </c>
      <c r="C8" s="1" t="s">
        <v>15</v>
      </c>
      <c r="D8" s="1" t="s">
        <v>43</v>
      </c>
      <c r="E8" s="1" t="s">
        <v>44</v>
      </c>
      <c r="F8" s="1">
        <v>693</v>
      </c>
      <c r="G8" s="1" t="s">
        <v>45</v>
      </c>
      <c r="H8" s="1">
        <v>737</v>
      </c>
      <c r="I8" s="1" t="s">
        <v>19</v>
      </c>
      <c r="J8" s="1" t="s">
        <v>19</v>
      </c>
      <c r="K8" s="1">
        <v>1533</v>
      </c>
      <c r="L8" s="1" t="s">
        <v>20</v>
      </c>
      <c r="M8" s="1" t="s">
        <v>21</v>
      </c>
      <c r="N8" s="1">
        <v>25</v>
      </c>
      <c r="O8" s="1">
        <f t="shared" si="0"/>
        <v>61.32</v>
      </c>
      <c r="P8" s="1">
        <f t="shared" si="1"/>
        <v>24.321000000000002</v>
      </c>
      <c r="Q8" s="1">
        <f t="shared" si="2"/>
        <v>0.97284000000000004</v>
      </c>
    </row>
    <row r="9" spans="1:17" x14ac:dyDescent="0.2">
      <c r="A9" s="1" t="s">
        <v>13</v>
      </c>
      <c r="B9" s="1" t="s">
        <v>46</v>
      </c>
      <c r="C9" s="1" t="s">
        <v>15</v>
      </c>
      <c r="D9" s="1" t="s">
        <v>47</v>
      </c>
      <c r="E9" s="1" t="s">
        <v>48</v>
      </c>
      <c r="F9" s="1">
        <v>693</v>
      </c>
      <c r="G9" s="1" t="s">
        <v>49</v>
      </c>
      <c r="H9" s="1">
        <v>737</v>
      </c>
      <c r="I9" s="1" t="s">
        <v>19</v>
      </c>
      <c r="J9" s="1" t="s">
        <v>19</v>
      </c>
      <c r="K9" s="1">
        <v>1796</v>
      </c>
      <c r="L9" s="1" t="s">
        <v>20</v>
      </c>
      <c r="M9" s="1" t="s">
        <v>21</v>
      </c>
      <c r="N9" s="1">
        <v>25</v>
      </c>
      <c r="O9" s="1">
        <f t="shared" si="0"/>
        <v>71.84</v>
      </c>
      <c r="P9" s="1">
        <f t="shared" si="1"/>
        <v>24.321000000000002</v>
      </c>
      <c r="Q9" s="1">
        <f t="shared" si="2"/>
        <v>0.97284000000000004</v>
      </c>
    </row>
    <row r="10" spans="1:17" x14ac:dyDescent="0.2">
      <c r="A10" s="1" t="s">
        <v>13</v>
      </c>
      <c r="B10" s="1" t="s">
        <v>50</v>
      </c>
      <c r="C10" s="1" t="s">
        <v>15</v>
      </c>
      <c r="D10" s="1" t="s">
        <v>51</v>
      </c>
      <c r="E10" s="1" t="s">
        <v>52</v>
      </c>
      <c r="F10" s="1">
        <v>693</v>
      </c>
      <c r="G10" s="1" t="s">
        <v>53</v>
      </c>
      <c r="H10" s="1">
        <v>737</v>
      </c>
      <c r="I10" s="1" t="s">
        <v>19</v>
      </c>
      <c r="J10" s="1" t="s">
        <v>19</v>
      </c>
      <c r="K10" s="1">
        <v>2125</v>
      </c>
      <c r="L10" s="1" t="s">
        <v>20</v>
      </c>
      <c r="M10" s="1" t="s">
        <v>21</v>
      </c>
      <c r="N10" s="1">
        <v>25</v>
      </c>
      <c r="O10" s="1">
        <f t="shared" si="0"/>
        <v>85</v>
      </c>
      <c r="P10" s="1">
        <f t="shared" si="1"/>
        <v>24.321000000000002</v>
      </c>
      <c r="Q10" s="1">
        <f t="shared" si="2"/>
        <v>0.97284000000000004</v>
      </c>
    </row>
    <row r="11" spans="1:17" x14ac:dyDescent="0.2">
      <c r="A11" s="1" t="s">
        <v>13</v>
      </c>
      <c r="B11" s="1" t="s">
        <v>54</v>
      </c>
      <c r="C11" s="1" t="s">
        <v>15</v>
      </c>
      <c r="D11" s="1" t="s">
        <v>55</v>
      </c>
      <c r="E11" s="1" t="s">
        <v>56</v>
      </c>
      <c r="F11" s="1">
        <v>693</v>
      </c>
      <c r="G11" s="1" t="s">
        <v>57</v>
      </c>
      <c r="H11" s="1">
        <v>737</v>
      </c>
      <c r="I11" s="1" t="s">
        <v>19</v>
      </c>
      <c r="J11" s="1" t="s">
        <v>19</v>
      </c>
      <c r="K11" s="1">
        <v>1795</v>
      </c>
      <c r="L11" s="1" t="s">
        <v>20</v>
      </c>
      <c r="M11" s="1" t="s">
        <v>21</v>
      </c>
      <c r="N11" s="1">
        <v>25</v>
      </c>
      <c r="O11" s="1">
        <f t="shared" si="0"/>
        <v>71.8</v>
      </c>
      <c r="P11" s="1">
        <f t="shared" si="1"/>
        <v>24.321000000000002</v>
      </c>
      <c r="Q11" s="1">
        <f t="shared" si="2"/>
        <v>0.97284000000000004</v>
      </c>
    </row>
    <row r="12" spans="1:17" x14ac:dyDescent="0.2">
      <c r="A12" s="1" t="s">
        <v>13</v>
      </c>
      <c r="B12" s="1" t="s">
        <v>58</v>
      </c>
      <c r="C12" s="1" t="s">
        <v>15</v>
      </c>
      <c r="D12" s="1" t="s">
        <v>59</v>
      </c>
      <c r="E12" s="1" t="s">
        <v>60</v>
      </c>
      <c r="F12" s="1">
        <v>693</v>
      </c>
      <c r="G12" s="1" t="s">
        <v>61</v>
      </c>
      <c r="H12" s="1">
        <v>737</v>
      </c>
      <c r="I12" s="1" t="s">
        <v>19</v>
      </c>
      <c r="J12" s="1" t="s">
        <v>19</v>
      </c>
      <c r="K12" s="1">
        <v>1296</v>
      </c>
      <c r="L12" s="1" t="s">
        <v>20</v>
      </c>
      <c r="M12" s="1" t="s">
        <v>21</v>
      </c>
      <c r="N12" s="1">
        <v>25</v>
      </c>
      <c r="O12" s="1">
        <f t="shared" si="0"/>
        <v>51.84</v>
      </c>
      <c r="P12" s="1">
        <f t="shared" si="1"/>
        <v>24.321000000000002</v>
      </c>
      <c r="Q12" s="1">
        <f t="shared" si="2"/>
        <v>0.97284000000000004</v>
      </c>
    </row>
    <row r="13" spans="1:17" x14ac:dyDescent="0.2">
      <c r="A13" s="1" t="s">
        <v>13</v>
      </c>
      <c r="B13" s="1" t="s">
        <v>62</v>
      </c>
      <c r="C13" s="1" t="s">
        <v>15</v>
      </c>
      <c r="D13" s="1" t="s">
        <v>63</v>
      </c>
      <c r="E13" s="1" t="s">
        <v>64</v>
      </c>
      <c r="F13" s="1">
        <v>693</v>
      </c>
      <c r="G13" s="1" t="s">
        <v>65</v>
      </c>
      <c r="H13" s="1">
        <v>737</v>
      </c>
      <c r="I13" s="1" t="s">
        <v>19</v>
      </c>
      <c r="J13" s="1" t="s">
        <v>19</v>
      </c>
      <c r="K13" s="1">
        <v>1654</v>
      </c>
      <c r="L13" s="1" t="s">
        <v>20</v>
      </c>
      <c r="M13" s="1" t="s">
        <v>21</v>
      </c>
      <c r="N13" s="1">
        <v>25</v>
      </c>
      <c r="O13" s="1">
        <f t="shared" si="0"/>
        <v>66.16</v>
      </c>
      <c r="P13" s="1">
        <f t="shared" si="1"/>
        <v>24.321000000000002</v>
      </c>
      <c r="Q13" s="1">
        <f t="shared" si="2"/>
        <v>0.97284000000000004</v>
      </c>
    </row>
    <row r="14" spans="1:17" x14ac:dyDescent="0.2">
      <c r="A14" s="1" t="s">
        <v>13</v>
      </c>
      <c r="B14" s="1" t="s">
        <v>66</v>
      </c>
      <c r="C14" s="1" t="s">
        <v>15</v>
      </c>
      <c r="D14" s="1" t="s">
        <v>67</v>
      </c>
      <c r="E14" s="1" t="s">
        <v>68</v>
      </c>
      <c r="F14" s="1">
        <v>693</v>
      </c>
      <c r="G14" s="1" t="s">
        <v>69</v>
      </c>
      <c r="H14" s="1">
        <v>737</v>
      </c>
      <c r="I14" s="1" t="s">
        <v>19</v>
      </c>
      <c r="J14" s="1" t="s">
        <v>19</v>
      </c>
      <c r="K14" s="1">
        <v>1688</v>
      </c>
      <c r="L14" s="1" t="s">
        <v>20</v>
      </c>
      <c r="M14" s="1" t="s">
        <v>21</v>
      </c>
      <c r="N14" s="1">
        <v>25</v>
      </c>
      <c r="O14" s="1">
        <f t="shared" si="0"/>
        <v>67.52</v>
      </c>
      <c r="P14" s="1">
        <f t="shared" si="1"/>
        <v>24.321000000000002</v>
      </c>
      <c r="Q14" s="1">
        <f t="shared" si="2"/>
        <v>0.97284000000000004</v>
      </c>
    </row>
    <row r="15" spans="1:17" x14ac:dyDescent="0.2">
      <c r="A15" s="1" t="s">
        <v>13</v>
      </c>
      <c r="B15" s="1" t="s">
        <v>70</v>
      </c>
      <c r="C15" s="1" t="s">
        <v>15</v>
      </c>
      <c r="D15" s="1" t="s">
        <v>71</v>
      </c>
      <c r="E15" s="1" t="s">
        <v>72</v>
      </c>
      <c r="F15" s="1">
        <v>693</v>
      </c>
      <c r="G15" s="1" t="s">
        <v>73</v>
      </c>
      <c r="H15" s="1">
        <v>737</v>
      </c>
      <c r="I15" s="1" t="s">
        <v>19</v>
      </c>
      <c r="J15" s="1" t="s">
        <v>19</v>
      </c>
      <c r="K15" s="1">
        <v>1412</v>
      </c>
      <c r="L15" s="1" t="s">
        <v>20</v>
      </c>
      <c r="M15" s="1" t="s">
        <v>21</v>
      </c>
      <c r="N15" s="1">
        <v>25</v>
      </c>
      <c r="O15" s="1">
        <f t="shared" si="0"/>
        <v>56.48</v>
      </c>
      <c r="P15" s="1">
        <f t="shared" si="1"/>
        <v>24.321000000000002</v>
      </c>
      <c r="Q15" s="1">
        <f t="shared" si="2"/>
        <v>0.97284000000000004</v>
      </c>
    </row>
    <row r="16" spans="1:17" x14ac:dyDescent="0.2">
      <c r="A16" s="1" t="s">
        <v>13</v>
      </c>
      <c r="B16" s="1" t="s">
        <v>74</v>
      </c>
      <c r="C16" s="1" t="s">
        <v>15</v>
      </c>
      <c r="D16" s="1" t="s">
        <v>75</v>
      </c>
      <c r="E16" s="1" t="s">
        <v>76</v>
      </c>
      <c r="F16" s="1">
        <v>693</v>
      </c>
      <c r="G16" s="1" t="s">
        <v>77</v>
      </c>
      <c r="H16" s="1">
        <v>737</v>
      </c>
      <c r="I16" s="1" t="s">
        <v>19</v>
      </c>
      <c r="J16" s="1" t="s">
        <v>19</v>
      </c>
      <c r="K16" s="1">
        <v>2142</v>
      </c>
      <c r="L16" s="1" t="s">
        <v>20</v>
      </c>
      <c r="M16" s="1" t="s">
        <v>21</v>
      </c>
      <c r="N16" s="1">
        <v>25</v>
      </c>
      <c r="O16" s="1">
        <f t="shared" si="0"/>
        <v>85.68</v>
      </c>
      <c r="P16" s="1">
        <f t="shared" si="1"/>
        <v>24.321000000000002</v>
      </c>
      <c r="Q16" s="1">
        <f t="shared" si="2"/>
        <v>0.97284000000000004</v>
      </c>
    </row>
    <row r="17" spans="1:17" x14ac:dyDescent="0.2">
      <c r="A17" s="1" t="s">
        <v>13</v>
      </c>
      <c r="B17" s="1" t="s">
        <v>78</v>
      </c>
      <c r="C17" s="1" t="s">
        <v>15</v>
      </c>
      <c r="D17" s="1" t="s">
        <v>79</v>
      </c>
      <c r="E17" s="1" t="s">
        <v>80</v>
      </c>
      <c r="F17" s="1">
        <v>693</v>
      </c>
      <c r="G17" s="1" t="s">
        <v>81</v>
      </c>
      <c r="H17" s="1">
        <v>737</v>
      </c>
      <c r="I17" s="1" t="s">
        <v>19</v>
      </c>
      <c r="J17" s="1" t="s">
        <v>19</v>
      </c>
      <c r="K17" s="1">
        <v>2251</v>
      </c>
      <c r="L17" s="1" t="s">
        <v>20</v>
      </c>
      <c r="M17" s="1" t="s">
        <v>21</v>
      </c>
      <c r="N17" s="1">
        <v>25</v>
      </c>
      <c r="O17" s="1">
        <f t="shared" si="0"/>
        <v>90.04</v>
      </c>
      <c r="P17" s="1">
        <f t="shared" si="1"/>
        <v>24.321000000000002</v>
      </c>
      <c r="Q17" s="1">
        <f t="shared" si="2"/>
        <v>0.97284000000000004</v>
      </c>
    </row>
    <row r="18" spans="1:17" x14ac:dyDescent="0.2">
      <c r="A18" s="1" t="s">
        <v>13</v>
      </c>
      <c r="B18" s="1" t="s">
        <v>82</v>
      </c>
      <c r="C18" s="1" t="s">
        <v>15</v>
      </c>
      <c r="D18" s="1" t="s">
        <v>83</v>
      </c>
      <c r="E18" s="1" t="s">
        <v>84</v>
      </c>
      <c r="F18" s="1">
        <v>693</v>
      </c>
      <c r="G18" s="1" t="s">
        <v>85</v>
      </c>
      <c r="H18" s="1">
        <v>737</v>
      </c>
      <c r="I18" s="1" t="s">
        <v>19</v>
      </c>
      <c r="J18" s="1" t="s">
        <v>19</v>
      </c>
      <c r="K18" s="1">
        <v>1857</v>
      </c>
      <c r="L18" s="1" t="s">
        <v>20</v>
      </c>
      <c r="M18" s="1" t="s">
        <v>21</v>
      </c>
      <c r="N18" s="1">
        <v>25</v>
      </c>
      <c r="O18" s="1">
        <f t="shared" si="0"/>
        <v>74.28</v>
      </c>
      <c r="P18" s="1">
        <f t="shared" si="1"/>
        <v>24.321000000000002</v>
      </c>
      <c r="Q18" s="1">
        <f t="shared" si="2"/>
        <v>0.97284000000000004</v>
      </c>
    </row>
    <row r="19" spans="1:17" x14ac:dyDescent="0.2">
      <c r="A19" s="1" t="s">
        <v>13</v>
      </c>
      <c r="B19" s="1" t="s">
        <v>86</v>
      </c>
      <c r="C19" s="1" t="s">
        <v>15</v>
      </c>
      <c r="D19" s="1" t="s">
        <v>87</v>
      </c>
      <c r="E19" s="1" t="s">
        <v>88</v>
      </c>
      <c r="F19" s="1">
        <v>693</v>
      </c>
      <c r="G19" s="1" t="s">
        <v>89</v>
      </c>
      <c r="H19" s="1">
        <v>737</v>
      </c>
      <c r="I19" s="1" t="s">
        <v>19</v>
      </c>
      <c r="J19" s="1" t="s">
        <v>19</v>
      </c>
      <c r="K19" s="1">
        <v>1721</v>
      </c>
      <c r="L19" s="1" t="s">
        <v>20</v>
      </c>
      <c r="M19" s="1" t="s">
        <v>21</v>
      </c>
      <c r="N19" s="1">
        <v>25</v>
      </c>
      <c r="O19" s="1">
        <f t="shared" si="0"/>
        <v>68.84</v>
      </c>
      <c r="P19" s="1">
        <f t="shared" si="1"/>
        <v>24.321000000000002</v>
      </c>
      <c r="Q19" s="1">
        <f t="shared" si="2"/>
        <v>0.97284000000000004</v>
      </c>
    </row>
    <row r="20" spans="1:17" x14ac:dyDescent="0.2">
      <c r="A20" s="1" t="s">
        <v>13</v>
      </c>
      <c r="B20" s="1" t="s">
        <v>90</v>
      </c>
      <c r="C20" s="1" t="s">
        <v>15</v>
      </c>
      <c r="D20" s="1" t="s">
        <v>91</v>
      </c>
      <c r="E20" s="1" t="s">
        <v>92</v>
      </c>
      <c r="F20" s="1">
        <v>2749</v>
      </c>
      <c r="G20" s="1" t="s">
        <v>93</v>
      </c>
      <c r="H20" s="1">
        <v>2793</v>
      </c>
      <c r="I20" s="1" t="s">
        <v>19</v>
      </c>
      <c r="J20" s="1" t="s">
        <v>19</v>
      </c>
      <c r="K20" s="1">
        <v>2389</v>
      </c>
      <c r="L20" s="1" t="s">
        <v>20</v>
      </c>
      <c r="M20" s="1" t="s">
        <v>21</v>
      </c>
      <c r="N20" s="1">
        <v>100</v>
      </c>
      <c r="O20" s="1">
        <f t="shared" si="0"/>
        <v>23.89</v>
      </c>
      <c r="P20" s="1">
        <f t="shared" si="1"/>
        <v>92.169000000000011</v>
      </c>
      <c r="Q20" s="1">
        <f t="shared" si="2"/>
        <v>0.92169000000000012</v>
      </c>
    </row>
    <row r="21" spans="1:17" x14ac:dyDescent="0.2">
      <c r="A21" s="1" t="s">
        <v>13</v>
      </c>
      <c r="B21" s="1" t="s">
        <v>94</v>
      </c>
      <c r="C21" s="1" t="s">
        <v>15</v>
      </c>
      <c r="D21" s="1" t="s">
        <v>95</v>
      </c>
      <c r="E21" s="1" t="s">
        <v>96</v>
      </c>
      <c r="F21" s="1">
        <v>699</v>
      </c>
      <c r="G21" s="1" t="s">
        <v>97</v>
      </c>
      <c r="H21" s="1">
        <v>743</v>
      </c>
      <c r="I21" s="1" t="s">
        <v>19</v>
      </c>
      <c r="J21" s="1" t="s">
        <v>19</v>
      </c>
      <c r="K21" s="1">
        <v>1158</v>
      </c>
      <c r="L21" s="1" t="s">
        <v>20</v>
      </c>
      <c r="M21" s="1" t="s">
        <v>21</v>
      </c>
      <c r="N21" s="1">
        <v>25</v>
      </c>
      <c r="O21" s="1">
        <f t="shared" si="0"/>
        <v>46.32</v>
      </c>
      <c r="P21" s="1">
        <f t="shared" si="1"/>
        <v>24.519000000000002</v>
      </c>
      <c r="Q21" s="1">
        <f t="shared" si="2"/>
        <v>0.98076000000000008</v>
      </c>
    </row>
    <row r="22" spans="1:17" x14ac:dyDescent="0.2">
      <c r="A22" s="1" t="s">
        <v>13</v>
      </c>
      <c r="B22" s="1" t="s">
        <v>98</v>
      </c>
      <c r="C22" s="1" t="s">
        <v>15</v>
      </c>
      <c r="D22" s="1" t="s">
        <v>99</v>
      </c>
      <c r="E22" s="1" t="s">
        <v>100</v>
      </c>
      <c r="F22" s="1">
        <v>695</v>
      </c>
      <c r="G22" s="1" t="s">
        <v>101</v>
      </c>
      <c r="H22" s="1">
        <v>739</v>
      </c>
      <c r="I22" s="1" t="s">
        <v>19</v>
      </c>
      <c r="J22" s="1" t="s">
        <v>19</v>
      </c>
      <c r="K22" s="1">
        <v>1648</v>
      </c>
      <c r="L22" s="1" t="s">
        <v>20</v>
      </c>
      <c r="M22" s="1" t="s">
        <v>21</v>
      </c>
      <c r="N22" s="1">
        <v>25</v>
      </c>
      <c r="O22" s="1">
        <f t="shared" si="0"/>
        <v>65.92</v>
      </c>
      <c r="P22" s="1">
        <f t="shared" si="1"/>
        <v>24.387</v>
      </c>
      <c r="Q22" s="1">
        <f t="shared" si="2"/>
        <v>0.97548000000000001</v>
      </c>
    </row>
    <row r="23" spans="1:17" x14ac:dyDescent="0.2">
      <c r="A23" s="1" t="s">
        <v>13</v>
      </c>
      <c r="B23" s="1" t="s">
        <v>102</v>
      </c>
      <c r="C23" s="1" t="s">
        <v>15</v>
      </c>
      <c r="D23" s="1" t="s">
        <v>103</v>
      </c>
      <c r="E23" s="1" t="s">
        <v>104</v>
      </c>
      <c r="F23" s="1">
        <v>695</v>
      </c>
      <c r="G23" s="1" t="s">
        <v>105</v>
      </c>
      <c r="H23" s="1">
        <v>739</v>
      </c>
      <c r="I23" s="1" t="s">
        <v>19</v>
      </c>
      <c r="J23" s="1" t="s">
        <v>19</v>
      </c>
      <c r="K23" s="1">
        <v>1503</v>
      </c>
      <c r="L23" s="1" t="s">
        <v>20</v>
      </c>
      <c r="M23" s="1" t="s">
        <v>21</v>
      </c>
      <c r="N23" s="1">
        <v>25</v>
      </c>
      <c r="O23" s="1">
        <f t="shared" si="0"/>
        <v>60.12</v>
      </c>
      <c r="P23" s="1">
        <f t="shared" si="1"/>
        <v>24.387</v>
      </c>
      <c r="Q23" s="1">
        <f t="shared" si="2"/>
        <v>0.97548000000000001</v>
      </c>
    </row>
  </sheetData>
  <pageMargins left="0.75" right="0.75" top="1" bottom="1" header="0.5" footer="0.5"/>
  <pageSetup paperSize="9" scale="60" orientation="landscape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platemap_pSHPs0711B5402016N_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Sek</cp:lastModifiedBy>
  <cp:lastPrinted>2026-08-24T05:29:52Z</cp:lastPrinted>
  <dcterms:created xsi:type="dcterms:W3CDTF">2026-08-24T05:28:11Z</dcterms:created>
  <dcterms:modified xsi:type="dcterms:W3CDTF">2026-09-23T00:37:51Z</dcterms:modified>
</cp:coreProperties>
</file>